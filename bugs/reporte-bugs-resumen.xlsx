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Bugs" sheetId="2" state="visible" r:id="rId4"/>
  </sheets>
  <definedNames>
    <definedName function="false" hidden="true" localSheetId="1" name="_xlnm._FilterDatabase" vbProcedure="false">Bugs!$A$4:$R$12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<sst xmlns="http://schemas.openxmlformats.org/spreadsheetml/2006/main" count="197" uniqueCount="147">
  <si>
    <t xml:space="preserve">RESUMEN DE DEFECTOS</t>
  </si>
  <si>
    <t xml:space="preserve">Valores calculados con fórmulas sobre la hoja 'Bugs'</t>
  </si>
  <si>
    <t xml:space="preserve">Severidad</t>
  </si>
  <si>
    <t xml:space="preserve">Cantidad</t>
  </si>
  <si>
    <t xml:space="preserve">% del total</t>
  </si>
  <si>
    <t xml:space="preserve">Criterio de clasificación</t>
  </si>
  <si>
    <t xml:space="preserve">S1 - Crítico</t>
  </si>
  <si>
    <t xml:space="preserve">Bloquea una funcionalidad esencial sin workaround. Impide el go-live.</t>
  </si>
  <si>
    <t xml:space="preserve">S2 - Mayor</t>
  </si>
  <si>
    <t xml:space="preserve">Afecta gravemente una función importante; existe workaround parcial.</t>
  </si>
  <si>
    <t xml:space="preserve">S3 - Menor</t>
  </si>
  <si>
    <t xml:space="preserve">Falla de comportamiento o mensaje que no impide completar el flujo.</t>
  </si>
  <si>
    <t xml:space="preserve">S4 - Trivial</t>
  </si>
  <si>
    <t xml:space="preserve">Defecto cosmético o de texto, sin impacto funcional.</t>
  </si>
  <si>
    <t xml:space="preserve">TOTAL</t>
  </si>
  <si>
    <t xml:space="preserve">Minimo exigido por el proyecto: 8 bugs documentados</t>
  </si>
  <si>
    <t xml:space="preserve">Estado en Jira</t>
  </si>
  <si>
    <t xml:space="preserve">Significado</t>
  </si>
  <si>
    <t xml:space="preserve">New</t>
  </si>
  <si>
    <t xml:space="preserve">Reportado, aun sin tomar por el equipo de desarrollo.</t>
  </si>
  <si>
    <t xml:space="preserve">In Progress</t>
  </si>
  <si>
    <t xml:space="preserve">El desarrollador esta trabajando en la corrección.</t>
  </si>
  <si>
    <t xml:space="preserve">Fixed</t>
  </si>
  <si>
    <t xml:space="preserve">El dev informa el fix; pendiente de retest por QA.</t>
  </si>
  <si>
    <t xml:space="preserve">Reopened</t>
  </si>
  <si>
    <t xml:space="preserve">Retesteado y sigue fallando: se reabre con evidencia nueva.</t>
  </si>
  <si>
    <t xml:space="preserve">Closed</t>
  </si>
  <si>
    <t xml:space="preserve">Corregido y verificado por QA en el build indicado.</t>
  </si>
  <si>
    <t xml:space="preserve">Se simuló el ciclo de vida completo (New -&gt; Closed) en BUG-001, BUG-002 y BUG-005, y un Reopened en BUG-004.</t>
  </si>
  <si>
    <t xml:space="preserve">Bugs bloqueantes para producción: BUG-002 (S1) y los tres S2 (BUG-001, BUG-003, BUG-004). Conclusión del informe final: NO-GO.</t>
  </si>
  <si>
    <t xml:space="preserve">REPORTE DE BUGS - ShopNow S.A. | Módulo Registro y Perfil</t>
  </si>
  <si>
    <t xml:space="preserve">8 defectos documentados en Jira con formato estándar de industria | Proyecto: ShopNow QA - Registro y Perfil | Sprint 4</t>
  </si>
  <si>
    <t xml:space="preserve">ID Bug</t>
  </si>
  <si>
    <t xml:space="preserve">Título</t>
  </si>
  <si>
    <t xml:space="preserve">Prioridad</t>
  </si>
  <si>
    <t xml:space="preserve">Estado actual</t>
  </si>
  <si>
    <t xml:space="preserve">Módulo</t>
  </si>
  <si>
    <t xml:space="preserve">Entorno</t>
  </si>
  <si>
    <t xml:space="preserve">Precondiciones</t>
  </si>
  <si>
    <t xml:space="preserve">Pasos para reproducir</t>
  </si>
  <si>
    <t xml:space="preserve">Resultado obtenido</t>
  </si>
  <si>
    <t xml:space="preserve">Resultado esperado</t>
  </si>
  <si>
    <t xml:space="preserve">Impacto en el negocio</t>
  </si>
  <si>
    <t xml:space="preserve">Caso vinculado</t>
  </si>
  <si>
    <t xml:space="preserve">Req. afectado</t>
  </si>
  <si>
    <t xml:space="preserve">Evidencia</t>
  </si>
  <si>
    <t xml:space="preserve">Ciclo de vida simulado</t>
  </si>
  <si>
    <t xml:space="preserve">Reportado por</t>
  </si>
  <si>
    <t xml:space="preserve">Fecha de reporte</t>
  </si>
  <si>
    <t xml:space="preserve">BUG-001</t>
  </si>
  <si>
    <t xml:space="preserve">[Registro] El campo contraseña muestra el texto en claro sin interacción del usuario</t>
  </si>
  <si>
    <t xml:space="preserve">P2 - Alta</t>
  </si>
  <si>
    <t xml:space="preserve">Registro</t>
  </si>
  <si>
    <t xml:space="preserve">Staging | Chrome 120 | Windows 11 | Desktop 1920x1080</t>
  </si>
  <si>
    <t xml:space="preserve">El usuario no está logueado / Navegador sin cache (modo incógnito)</t>
  </si>
  <si>
    <t xml:space="preserve">1. Ingresar a https://staging.shopnow.com.ar/registro
2. Hacer clic en el campo 'Contraseña'
3. Escribir cualquier contraseña</t>
  </si>
  <si>
    <t xml:space="preserve">El texto de la contraseña se muestra en claro desde el primer carácter, sin necesidad de hacer clic en el icono del ojo. RNF-04 violado.</t>
  </si>
  <si>
    <t xml:space="preserve">Los caracteres deben mostrarse como '......' por defecto. Solo al hacer clic en el icono del ojo deben mostrarse en claro.</t>
  </si>
  <si>
    <t xml:space="preserve">Exposición visual de credenciales ante terceros (shoulder surfing). Riesgo reputacional y de cumplimiento para una plataforma con 350.000 usuarios.</t>
  </si>
  <si>
    <t xml:space="preserve">CP-010</t>
  </si>
  <si>
    <t xml:space="preserve">RNF-04</t>
  </si>
  <si>
    <t xml:space="preserve">BUG-001-contrasena-visible-chrome.png</t>
  </si>
  <si>
    <t xml:space="preserve">New
-&gt; In Progress
-&gt; Fixed (comentario: 'Fix en build 1.3')
-&gt; Retesting (CP-010 reejecutado)
-&gt; Closed (comentario: 'Verificado en build 1.3')</t>
  </si>
  <si>
    <t xml:space="preserve">Jeisson M. Uribe</t>
  </si>
  <si>
    <t xml:space="preserve">15/09/2026</t>
  </si>
  <si>
    <t xml:space="preserve">BUG-002</t>
  </si>
  <si>
    <t xml:space="preserve">[Registro] En Firefox el botón 'Crear cuenta' no responde al clic</t>
  </si>
  <si>
    <t xml:space="preserve">P1 - Crítica</t>
  </si>
  <si>
    <t xml:space="preserve">Staging | Firefox 121 | Windows 11 | Desktop 1920x1080</t>
  </si>
  <si>
    <t xml:space="preserve">El usuario no está logueado / Formulario completo y válido / T&amp;C marcado</t>
  </si>
  <si>
    <t xml:space="preserve">1. Ingresar a https://staging.shopnow.com.ar/registro en Firefox
2. Completar todos los campos con datos válidos
3. Marcar el checkbox de T&amp;C
4. Hacer clic en 'Crear cuenta'
5. Abrir DevTools (F12) &gt; Console y Network</t>
  </si>
  <si>
    <t xml:space="preserve">El botón no ejecuta ninguna acción. No se genera petición a /register en la pestaña Network y la consola muestra 'Uncaught TypeError: e.submitForm is not a function'. Ningún usuario puede registrarse desde Firefox.</t>
  </si>
  <si>
    <t xml:space="preserve">La cuenta debe crearse igual que en Chrome y redirigir al panel de perfil.</t>
  </si>
  <si>
    <t xml:space="preserve">Bloqueo total del alta de usuarios en Firefox (aprox. 8-10% del tráfico del sitio según la analítica del PO). Pérdida directa de conversión de nuevos usuarios.</t>
  </si>
  <si>
    <t xml:space="preserve">CP-029</t>
  </si>
  <si>
    <t xml:space="preserve">RNF-02</t>
  </si>
  <si>
    <t xml:space="preserve">BUG-002-boton-crear-cuenta-firefox.png</t>
  </si>
  <si>
    <t xml:space="preserve">New
-&gt; In Progress
-&gt; Fixed (comentario: 'Fix en build 1.3')
-&gt; Retesting (CP-029 reejecutado en Firefox 121)
-&gt; Closed (comentario: 'Verificado en build 1.3')</t>
  </si>
  <si>
    <t xml:space="preserve">BUG-003</t>
  </si>
  <si>
    <t xml:space="preserve">[Registro] El email de bienvenida llega a los 15 minutos</t>
  </si>
  <si>
    <t xml:space="preserve">Registro completado con éxito / Casilla de correo accesible</t>
  </si>
  <si>
    <t xml:space="preserve">1. Completar el registro con un email válido
2. Abrir la casilla del email registrado
3. Cronometrar el tiempo hasta la recepción
4. Repetir 3 veces</t>
  </si>
  <si>
    <t xml:space="preserve">El email de bienvenida llega a los 15 minutos aproximadamente (14:12, 15:03 y 15:41 en las tres mediciones). RF-06 se cumple con demora fuera del SLA definido.</t>
  </si>
  <si>
    <t xml:space="preserve">El email de bienvenida debe llegar en menos de 2 minutos desde el alta.</t>
  </si>
  <si>
    <t xml:space="preserve">El usuario nuevo no puede validar su cuenta ni acceder al link de bienvenida en su primera sesión. Aumenta el abandono en el onboarding y genera tickets de soporte.</t>
  </si>
  <si>
    <t xml:space="preserve">CP-015 (bloquea CP-016)</t>
  </si>
  <si>
    <t xml:space="preserve">RF-06</t>
  </si>
  <si>
    <t xml:space="preserve">BUG-003-email-bienvenida-demora.png</t>
  </si>
  <si>
    <t xml:space="preserve">New
-&gt; In Progress
-&gt; Fixed (comentario: 'Cola de envío reconfigurada en build 1.4 - pendiente de retest')</t>
  </si>
  <si>
    <t xml:space="preserve">BUG-004</t>
  </si>
  <si>
    <t xml:space="preserve">[Perfil] En mobile 375px el botón 'Guardar cambios' queda fuera del viewport</t>
  </si>
  <si>
    <t xml:space="preserve">Perfil</t>
  </si>
  <si>
    <t xml:space="preserve">Staging | Chrome 120 (modo responsive 375x667) | Windows 11</t>
  </si>
  <si>
    <t xml:space="preserve">Usuario logueado / DevTools en modo responsive 375px</t>
  </si>
  <si>
    <t xml:space="preserve">1. Abrir https://staging.shopnow.com.ar/perfil con DevTools en 375px
2. Editar cualquier dato personal
3. Intentar presionar 'Guardar cambios'</t>
  </si>
  <si>
    <t xml:space="preserve">El botón queda por debajo del área visible y no se alcanza con scroll vertical; el contenedor tiene overflow oculto. El usuario no puede guardar cambios desde mobile.</t>
  </si>
  <si>
    <t xml:space="preserve">Todos los controles deben ser visibles y operables en 375px, sin scroll horizontal ni recorte del contenedor.</t>
  </si>
  <si>
    <t xml:space="preserve">Imposibilita la edición de perfil para el tráfico mobile, que representa la mayor parte de los usuarios de e-commerce en Argentina.</t>
  </si>
  <si>
    <t xml:space="preserve">CP-031</t>
  </si>
  <si>
    <t xml:space="preserve">RNF-03</t>
  </si>
  <si>
    <t xml:space="preserve">BUG-004-guardar-fuera-viewport-mobile.png</t>
  </si>
  <si>
    <t xml:space="preserve">New
-&gt; In Progress
-&gt; Fixed (comentario: 'Fix en build 1.3')
-&gt; Retesting (CP-031 reejecutado)
-&gt; Reopened (comentario: 'El botón sigue recortado en 375x667; se adjunta evidencia nueva BUG-004-retest-build13.png')</t>
  </si>
  <si>
    <t xml:space="preserve">BUG-005</t>
  </si>
  <si>
    <t xml:space="preserve">[Registro] El mensaje de error por email duplicado dice 'Error inesperado'</t>
  </si>
  <si>
    <t xml:space="preserve">P3 - Media</t>
  </si>
  <si>
    <t xml:space="preserve">Existe una cuenta previa registrada con el email de prueba</t>
  </si>
  <si>
    <t xml:space="preserve">1. Ingresar a /registro
2. Completar el formulario usando un email ya registrado
3. Marcar T&amp;C
4. Clic en 'Crear cuenta'</t>
  </si>
  <si>
    <t xml:space="preserve">Se muestra el mensaje genérico 'Error inesperado'. El usuario no sabe que el email ya existe ni que puede recuperar su contraseña.</t>
  </si>
  <si>
    <t xml:space="preserve">Mensaje específico: 'Este email ya está registrado. Inicia sesión o recupera tu contraseña'.</t>
  </si>
  <si>
    <t xml:space="preserve">Fricción en el alta y aumento de contactos a soporte. El usuario puede abandonar el registro creyendo que el sitio fallo.</t>
  </si>
  <si>
    <t xml:space="preserve">CP-005</t>
  </si>
  <si>
    <t xml:space="preserve">RF-02</t>
  </si>
  <si>
    <t xml:space="preserve">BUG-005-mensaje-email-duplicado.png</t>
  </si>
  <si>
    <t xml:space="preserve">New
-&gt; In Progress
-&gt; Fixed (comentario: 'Fix en build 1.3')
-&gt; Retesting (CP-005 reejecutado)
-&gt; Closed (comentario: 'Verificado en build 1.3')</t>
  </si>
  <si>
    <t xml:space="preserve">BUG-006</t>
  </si>
  <si>
    <t xml:space="preserve">[Perfil] El sistema acepta fechas de nacimiento futuras sin mostrar error</t>
  </si>
  <si>
    <t xml:space="preserve">Usuario logueado en /perfil</t>
  </si>
  <si>
    <t xml:space="preserve">1. Ingresar a /perfil
2. Seleccionar la fecha de nacimiento 15/01/2030
3. Guardar cambios
4. Recargar la página</t>
  </si>
  <si>
    <t xml:space="preserve">La fecha futura se guarda y persiste tras recargar, sin ninguna validación ni mensaje de error. RF-07 incumplido.</t>
  </si>
  <si>
    <t xml:space="preserve">El sistema debe rechazar fechas posteriores a la fecha actual con el mensaje 'La fecha de nacimiento no puede ser futura'.</t>
  </si>
  <si>
    <t xml:space="preserve">Datos demográficos inválidos en la base de usuarios; afecta segmentación de campañas y validaciones de edad mínima.</t>
  </si>
  <si>
    <t xml:space="preserve">CP-021</t>
  </si>
  <si>
    <t xml:space="preserve">RF-07</t>
  </si>
  <si>
    <t xml:space="preserve">BUG-006-fecha-nacimiento-futura.png</t>
  </si>
  <si>
    <t xml:space="preserve">New
-&gt; In Progress (asignado al equipo backend, build 1.4)</t>
  </si>
  <si>
    <t xml:space="preserve">BUG-007</t>
  </si>
  <si>
    <t xml:space="preserve">[Foto de perfil] No se muestra la previsualización de la imagen antes de confirmar la carga</t>
  </si>
  <si>
    <t xml:space="preserve">P4 - Baja</t>
  </si>
  <si>
    <t xml:space="preserve">Foto de perfil</t>
  </si>
  <si>
    <t xml:space="preserve">Usuario logueado en /perfil / Archivo JPG válido menor a 2 MB disponible</t>
  </si>
  <si>
    <t xml:space="preserve">1. Ingresar a /perfil
2. Clic en 'Cambiar foto'
3. Seleccionar un JPG de 1,2 MB
4. Observar el área de previsualización antes de confirmar</t>
  </si>
  <si>
    <t xml:space="preserve">No se muestra ninguna previsualización; el área queda vacía hasta que la carga se confirma y la página se refresca.</t>
  </si>
  <si>
    <t xml:space="preserve">Debe mostrarse una miniatura de la imagen seleccionada antes de confirmar, para permitir cancelar si es la foto equivocada.</t>
  </si>
  <si>
    <t xml:space="preserve">El usuario sube la foto a ciegas y debe repetir el proceso si se equivoca. Impacto bajo en negocio, alto en experiencia.</t>
  </si>
  <si>
    <t xml:space="preserve">CP-025</t>
  </si>
  <si>
    <t xml:space="preserve">RF-09</t>
  </si>
  <si>
    <t xml:space="preserve">BUG-007-sin-preview-foto.png</t>
  </si>
  <si>
    <t xml:space="preserve">New (reportado y priorizado para el backlog del Sprint 5)</t>
  </si>
  <si>
    <t xml:space="preserve">BUG-008</t>
  </si>
  <si>
    <t xml:space="preserve">[Registro] El placeholder del campo 'Apellido' dice 'Ingresa tu nombre'</t>
  </si>
  <si>
    <t xml:space="preserve">El usuario no está logueado</t>
  </si>
  <si>
    <t xml:space="preserve">1. Ingresar a https://staging.shopnow.com.ar/registro
2. Observar el texto placeholder del campo 'Apellido'</t>
  </si>
  <si>
    <t xml:space="preserve">El placeholder del campo 'Apellido' muestra el texto 'Ingresa tu nombre'.</t>
  </si>
  <si>
    <t xml:space="preserve">El placeholder debe decir 'Ingresa tu apellido'.</t>
  </si>
  <si>
    <t xml:space="preserve">Confusión menor en el formulario de alta. No bloquea el flujo pero afecta la percepción de calidad del producto.</t>
  </si>
  <si>
    <t xml:space="preserve">CP-001</t>
  </si>
  <si>
    <t xml:space="preserve">BUG-008-placeholder-apellido.png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</si>
</sst>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7F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0061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C8A"/>
        <bgColor rgb="FF1F3864"/>
      </patternFill>
    </fill>
    <fill>
      <patternFill patternType="solid">
        <fgColor rgb="FFFF9999"/>
        <bgColor rgb="FFFF8080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C6EFCE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7F0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CCFFFF"/>
      <rgbColor rgb="FFC6EFCE"/>
      <rgbColor rgb="FFFFEB9C"/>
      <rgbColor rgb="FF99CCFF"/>
      <rgbColor rgb="FFFF9999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74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COUNTIF(Bugs!C5:C12,"S1 - Crítico")</f>
        <v>1</v>
      </c>
      <c r="C5" s="6" t="n">
        <f aca="false">IFERROR(B5/SUM($B$5:$B$8),0)</f>
        <v>0.125</v>
      </c>
      <c r="D5" s="7" t="s">
        <v>7</v>
      </c>
    </row>
    <row r="6" customFormat="false" ht="15" hidden="false" customHeight="false" outlineLevel="0" collapsed="false">
      <c r="A6" s="8" t="s">
        <v>8</v>
      </c>
      <c r="B6" s="5" t="n">
        <f aca="false">COUNTIF(Bugs!C5:C12,"S2 - Mayor")</f>
        <v>3</v>
      </c>
      <c r="C6" s="6" t="n">
        <f aca="false">IFERROR(B6/SUM($B$5:$B$8),0)</f>
        <v>0.375</v>
      </c>
      <c r="D6" s="7" t="s">
        <v>9</v>
      </c>
    </row>
    <row r="7" customFormat="false" ht="15" hidden="false" customHeight="false" outlineLevel="0" collapsed="false">
      <c r="A7" s="9" t="s">
        <v>10</v>
      </c>
      <c r="B7" s="5" t="n">
        <f aca="false">COUNTIF(Bugs!C5:C12,"S3 - Menor")</f>
        <v>3</v>
      </c>
      <c r="C7" s="6" t="n">
        <f aca="false">IFERROR(B7/SUM($B$5:$B$8),0)</f>
        <v>0.375</v>
      </c>
      <c r="D7" s="7" t="s">
        <v>11</v>
      </c>
    </row>
    <row r="8" customFormat="false" ht="15" hidden="false" customHeight="false" outlineLevel="0" collapsed="false">
      <c r="A8" s="10" t="s">
        <v>12</v>
      </c>
      <c r="B8" s="5" t="n">
        <f aca="false">COUNTIF(Bugs!C5:C12,"S4 - Trivial")</f>
        <v>1</v>
      </c>
      <c r="C8" s="6" t="n">
        <f aca="false">IFERROR(B8/SUM($B$5:$B$8),0)</f>
        <v>0.125</v>
      </c>
      <c r="D8" s="7" t="s">
        <v>13</v>
      </c>
    </row>
    <row r="9" customFormat="false" ht="15" hidden="false" customHeight="false" outlineLevel="0" collapsed="false">
      <c r="A9" s="11" t="s">
        <v>14</v>
      </c>
      <c r="B9" s="12" t="n">
        <f aca="false">SUM(B5:B8)</f>
        <v>8</v>
      </c>
      <c r="C9" s="13" t="n">
        <f aca="false">IFERROR(B9/SUM($B$5:$B$8),0)</f>
        <v>1</v>
      </c>
      <c r="D9" s="14" t="s">
        <v>15</v>
      </c>
    </row>
    <row r="11" customFormat="false" ht="30" hidden="false" customHeight="true" outlineLevel="0" collapsed="false">
      <c r="A11" s="15" t="s">
        <v>16</v>
      </c>
      <c r="B11" s="15" t="s">
        <v>3</v>
      </c>
      <c r="C11" s="15" t="s">
        <v>4</v>
      </c>
      <c r="D11" s="15" t="s">
        <v>17</v>
      </c>
    </row>
    <row r="12" customFormat="false" ht="15" hidden="false" customHeight="false" outlineLevel="0" collapsed="false">
      <c r="A12" s="10" t="s">
        <v>18</v>
      </c>
      <c r="B12" s="5" t="n">
        <f aca="false">COUNTIF(Bugs!E5:E12,"New")</f>
        <v>2</v>
      </c>
      <c r="C12" s="6" t="n">
        <f aca="false">IFERROR(B12/SUM($B$12:$B$16),0)</f>
        <v>0.25</v>
      </c>
      <c r="D12" s="7" t="s">
        <v>19</v>
      </c>
    </row>
    <row r="13" customFormat="false" ht="15" hidden="false" customHeight="false" outlineLevel="0" collapsed="false">
      <c r="A13" s="9" t="s">
        <v>20</v>
      </c>
      <c r="B13" s="5" t="n">
        <f aca="false">COUNTIF(Bugs!E5:E12,"In Progress")</f>
        <v>1</v>
      </c>
      <c r="C13" s="6" t="n">
        <f aca="false">IFERROR(B13/SUM($B$12:$B$16),0)</f>
        <v>0.125</v>
      </c>
      <c r="D13" s="7" t="s">
        <v>21</v>
      </c>
    </row>
    <row r="14" customFormat="false" ht="15" hidden="false" customHeight="false" outlineLevel="0" collapsed="false">
      <c r="A14" s="16" t="s">
        <v>22</v>
      </c>
      <c r="B14" s="5" t="n">
        <f aca="false">COUNTIF(Bugs!E5:E12,"Fixed")</f>
        <v>1</v>
      </c>
      <c r="C14" s="6" t="n">
        <f aca="false">IFERROR(B14/SUM($B$12:$B$16),0)</f>
        <v>0.125</v>
      </c>
      <c r="D14" s="7" t="s">
        <v>23</v>
      </c>
    </row>
    <row r="15" customFormat="false" ht="15" hidden="false" customHeight="false" outlineLevel="0" collapsed="false">
      <c r="A15" s="8" t="s">
        <v>24</v>
      </c>
      <c r="B15" s="5" t="n">
        <f aca="false">COUNTIF(Bugs!E5:E12,"Reopened")</f>
        <v>1</v>
      </c>
      <c r="C15" s="6" t="n">
        <f aca="false">IFERROR(B15/SUM($B$12:$B$16),0)</f>
        <v>0.125</v>
      </c>
      <c r="D15" s="7" t="s">
        <v>25</v>
      </c>
    </row>
    <row r="16" customFormat="false" ht="15" hidden="false" customHeight="false" outlineLevel="0" collapsed="false">
      <c r="A16" s="17" t="s">
        <v>26</v>
      </c>
      <c r="B16" s="5" t="n">
        <f aca="false">COUNTIF(Bugs!E5:E12,"Closed")</f>
        <v>3</v>
      </c>
      <c r="C16" s="6" t="n">
        <f aca="false">IFERROR(B16/SUM($B$12:$B$16),0)</f>
        <v>0.375</v>
      </c>
      <c r="D16" s="7" t="s">
        <v>27</v>
      </c>
    </row>
    <row r="17" customFormat="false" ht="22.35" hidden="false" customHeight="false" outlineLevel="0" collapsed="false">
      <c r="A17" s="11" t="s">
        <v>14</v>
      </c>
      <c r="B17" s="12" t="n">
        <f aca="false">SUM(B12:B16)</f>
        <v>8</v>
      </c>
      <c r="C17" s="13" t="n">
        <f aca="false">IFERROR(B17/SUM($B$12:$B$16),0)</f>
        <v>1</v>
      </c>
      <c r="D17" s="14" t="s">
        <v>28</v>
      </c>
    </row>
    <row r="19" customFormat="false" ht="15" hidden="false" customHeight="true" outlineLevel="0" collapsed="false">
      <c r="A19" s="18" t="s">
        <v>29</v>
      </c>
      <c r="B19" s="18"/>
      <c r="C19" s="18"/>
      <c r="D19" s="18"/>
    </row>
  </sheetData>
  <mergeCells count="3">
    <mergeCell ref="A1:D1"/>
    <mergeCell ref="A2:D2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4" min="3" style="0" width="13"/>
    <col collapsed="false" customWidth="true" hidden="false" outlineLevel="0" max="6" min="5" style="0" width="14"/>
    <col collapsed="false" customWidth="true" hidden="false" outlineLevel="0" max="7" min="7" style="0" width="30"/>
    <col collapsed="false" customWidth="true" hidden="false" outlineLevel="0" max="8" min="8" style="0" width="28"/>
    <col collapsed="false" customWidth="true" hidden="false" outlineLevel="0" max="10" min="9" style="0" width="54"/>
    <col collapsed="false" customWidth="true" hidden="false" outlineLevel="0" max="11" min="11" style="0" width="46"/>
    <col collapsed="false" customWidth="true" hidden="false" outlineLevel="0" max="12" min="12" style="0" width="50"/>
    <col collapsed="false" customWidth="true" hidden="false" outlineLevel="0" max="13" min="13" style="0" width="18"/>
    <col collapsed="false" customWidth="true" hidden="false" outlineLevel="0" max="14" min="14" style="0" width="12"/>
    <col collapsed="false" customWidth="true" hidden="false" outlineLevel="0" max="15" min="15" style="0" width="36"/>
    <col collapsed="false" customWidth="true" hidden="false" outlineLevel="0" max="16" min="16" style="0" width="58"/>
    <col collapsed="false" customWidth="true" hidden="false" outlineLevel="0" max="17" min="17" style="0" width="16"/>
    <col collapsed="false" customWidth="true" hidden="false" outlineLevel="0" max="18" min="18" style="0" width="14"/>
  </cols>
  <sheetData>
    <row r="1" customFormat="false" ht="25.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30" hidden="false" customHeight="true" outlineLevel="0" collapsed="false">
      <c r="A4" s="3" t="s">
        <v>32</v>
      </c>
      <c r="B4" s="3" t="s">
        <v>33</v>
      </c>
      <c r="C4" s="3" t="s">
        <v>2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 t="s">
        <v>48</v>
      </c>
    </row>
    <row r="5" customFormat="false" ht="91.5" hidden="false" customHeight="true" outlineLevel="0" collapsed="false">
      <c r="A5" s="5" t="s">
        <v>49</v>
      </c>
      <c r="B5" s="19" t="s">
        <v>50</v>
      </c>
      <c r="C5" s="8" t="s">
        <v>8</v>
      </c>
      <c r="D5" s="20" t="s">
        <v>51</v>
      </c>
      <c r="E5" s="17" t="s">
        <v>26</v>
      </c>
      <c r="F5" s="20" t="s">
        <v>52</v>
      </c>
      <c r="G5" s="7" t="s">
        <v>53</v>
      </c>
      <c r="H5" s="7" t="s">
        <v>54</v>
      </c>
      <c r="I5" s="7" t="s">
        <v>55</v>
      </c>
      <c r="J5" s="7" t="s">
        <v>56</v>
      </c>
      <c r="K5" s="7" t="s">
        <v>57</v>
      </c>
      <c r="L5" s="7" t="s">
        <v>58</v>
      </c>
      <c r="M5" s="20" t="s">
        <v>59</v>
      </c>
      <c r="N5" s="20" t="s">
        <v>60</v>
      </c>
      <c r="O5" s="7" t="s">
        <v>61</v>
      </c>
      <c r="P5" s="7" t="s">
        <v>62</v>
      </c>
      <c r="Q5" s="20" t="s">
        <v>63</v>
      </c>
      <c r="R5" s="20" t="s">
        <v>64</v>
      </c>
    </row>
    <row r="6" customFormat="false" ht="91.5" hidden="false" customHeight="true" outlineLevel="0" collapsed="false">
      <c r="A6" s="5" t="s">
        <v>65</v>
      </c>
      <c r="B6" s="19" t="s">
        <v>66</v>
      </c>
      <c r="C6" s="4" t="s">
        <v>6</v>
      </c>
      <c r="D6" s="20" t="s">
        <v>67</v>
      </c>
      <c r="E6" s="17" t="s">
        <v>26</v>
      </c>
      <c r="F6" s="20" t="s">
        <v>52</v>
      </c>
      <c r="G6" s="7" t="s">
        <v>68</v>
      </c>
      <c r="H6" s="7" t="s">
        <v>69</v>
      </c>
      <c r="I6" s="7" t="s">
        <v>70</v>
      </c>
      <c r="J6" s="7" t="s">
        <v>71</v>
      </c>
      <c r="K6" s="7" t="s">
        <v>72</v>
      </c>
      <c r="L6" s="7" t="s">
        <v>73</v>
      </c>
      <c r="M6" s="20" t="s">
        <v>74</v>
      </c>
      <c r="N6" s="20" t="s">
        <v>75</v>
      </c>
      <c r="O6" s="7" t="s">
        <v>76</v>
      </c>
      <c r="P6" s="7" t="s">
        <v>77</v>
      </c>
      <c r="Q6" s="20" t="s">
        <v>63</v>
      </c>
      <c r="R6" s="20" t="s">
        <v>64</v>
      </c>
    </row>
    <row r="7" customFormat="false" ht="91.5" hidden="false" customHeight="true" outlineLevel="0" collapsed="false">
      <c r="A7" s="5" t="s">
        <v>78</v>
      </c>
      <c r="B7" s="19" t="s">
        <v>79</v>
      </c>
      <c r="C7" s="8" t="s">
        <v>8</v>
      </c>
      <c r="D7" s="20" t="s">
        <v>51</v>
      </c>
      <c r="E7" s="16" t="s">
        <v>22</v>
      </c>
      <c r="F7" s="20" t="s">
        <v>52</v>
      </c>
      <c r="G7" s="7" t="s">
        <v>53</v>
      </c>
      <c r="H7" s="7" t="s">
        <v>80</v>
      </c>
      <c r="I7" s="7" t="s">
        <v>81</v>
      </c>
      <c r="J7" s="7" t="s">
        <v>82</v>
      </c>
      <c r="K7" s="7" t="s">
        <v>83</v>
      </c>
      <c r="L7" s="7" t="s">
        <v>84</v>
      </c>
      <c r="M7" s="20" t="s">
        <v>85</v>
      </c>
      <c r="N7" s="20" t="s">
        <v>86</v>
      </c>
      <c r="O7" s="7" t="s">
        <v>87</v>
      </c>
      <c r="P7" s="7" t="s">
        <v>88</v>
      </c>
      <c r="Q7" s="20" t="s">
        <v>63</v>
      </c>
      <c r="R7" s="20" t="s">
        <v>64</v>
      </c>
    </row>
    <row r="8" customFormat="false" ht="91.5" hidden="false" customHeight="true" outlineLevel="0" collapsed="false">
      <c r="A8" s="5" t="s">
        <v>89</v>
      </c>
      <c r="B8" s="19" t="s">
        <v>90</v>
      </c>
      <c r="C8" s="8" t="s">
        <v>8</v>
      </c>
      <c r="D8" s="20" t="s">
        <v>67</v>
      </c>
      <c r="E8" s="8" t="s">
        <v>24</v>
      </c>
      <c r="F8" s="20" t="s">
        <v>91</v>
      </c>
      <c r="G8" s="7" t="s">
        <v>92</v>
      </c>
      <c r="H8" s="7" t="s">
        <v>93</v>
      </c>
      <c r="I8" s="7" t="s">
        <v>94</v>
      </c>
      <c r="J8" s="7" t="s">
        <v>95</v>
      </c>
      <c r="K8" s="7" t="s">
        <v>96</v>
      </c>
      <c r="L8" s="7" t="s">
        <v>97</v>
      </c>
      <c r="M8" s="20" t="s">
        <v>98</v>
      </c>
      <c r="N8" s="20" t="s">
        <v>99</v>
      </c>
      <c r="O8" s="7" t="s">
        <v>100</v>
      </c>
      <c r="P8" s="7" t="s">
        <v>101</v>
      </c>
      <c r="Q8" s="20" t="s">
        <v>63</v>
      </c>
      <c r="R8" s="20" t="s">
        <v>64</v>
      </c>
    </row>
    <row r="9" customFormat="false" ht="91.5" hidden="false" customHeight="true" outlineLevel="0" collapsed="false">
      <c r="A9" s="5" t="s">
        <v>102</v>
      </c>
      <c r="B9" s="19" t="s">
        <v>103</v>
      </c>
      <c r="C9" s="9" t="s">
        <v>10</v>
      </c>
      <c r="D9" s="20" t="s">
        <v>104</v>
      </c>
      <c r="E9" s="17" t="s">
        <v>26</v>
      </c>
      <c r="F9" s="20" t="s">
        <v>52</v>
      </c>
      <c r="G9" s="7" t="s">
        <v>53</v>
      </c>
      <c r="H9" s="7" t="s">
        <v>105</v>
      </c>
      <c r="I9" s="7" t="s">
        <v>106</v>
      </c>
      <c r="J9" s="7" t="s">
        <v>107</v>
      </c>
      <c r="K9" s="7" t="s">
        <v>108</v>
      </c>
      <c r="L9" s="7" t="s">
        <v>109</v>
      </c>
      <c r="M9" s="20" t="s">
        <v>110</v>
      </c>
      <c r="N9" s="20" t="s">
        <v>111</v>
      </c>
      <c r="O9" s="7" t="s">
        <v>112</v>
      </c>
      <c r="P9" s="7" t="s">
        <v>113</v>
      </c>
      <c r="Q9" s="20" t="s">
        <v>63</v>
      </c>
      <c r="R9" s="20" t="s">
        <v>64</v>
      </c>
    </row>
    <row r="10" customFormat="false" ht="91.5" hidden="false" customHeight="true" outlineLevel="0" collapsed="false">
      <c r="A10" s="5" t="s">
        <v>114</v>
      </c>
      <c r="B10" s="19" t="s">
        <v>115</v>
      </c>
      <c r="C10" s="9" t="s">
        <v>10</v>
      </c>
      <c r="D10" s="20" t="s">
        <v>104</v>
      </c>
      <c r="E10" s="9" t="s">
        <v>20</v>
      </c>
      <c r="F10" s="20" t="s">
        <v>91</v>
      </c>
      <c r="G10" s="7" t="s">
        <v>53</v>
      </c>
      <c r="H10" s="7" t="s">
        <v>116</v>
      </c>
      <c r="I10" s="7" t="s">
        <v>117</v>
      </c>
      <c r="J10" s="7" t="s">
        <v>118</v>
      </c>
      <c r="K10" s="7" t="s">
        <v>119</v>
      </c>
      <c r="L10" s="7" t="s">
        <v>120</v>
      </c>
      <c r="M10" s="20" t="s">
        <v>121</v>
      </c>
      <c r="N10" s="20" t="s">
        <v>122</v>
      </c>
      <c r="O10" s="7" t="s">
        <v>123</v>
      </c>
      <c r="P10" s="7" t="s">
        <v>124</v>
      </c>
      <c r="Q10" s="20" t="s">
        <v>63</v>
      </c>
      <c r="R10" s="20" t="s">
        <v>64</v>
      </c>
    </row>
    <row r="11" customFormat="false" ht="91.5" hidden="false" customHeight="true" outlineLevel="0" collapsed="false">
      <c r="A11" s="5" t="s">
        <v>125</v>
      </c>
      <c r="B11" s="19" t="s">
        <v>126</v>
      </c>
      <c r="C11" s="9" t="s">
        <v>10</v>
      </c>
      <c r="D11" s="20" t="s">
        <v>127</v>
      </c>
      <c r="E11" s="10" t="s">
        <v>18</v>
      </c>
      <c r="F11" s="20" t="s">
        <v>128</v>
      </c>
      <c r="G11" s="7" t="s">
        <v>53</v>
      </c>
      <c r="H11" s="7" t="s">
        <v>129</v>
      </c>
      <c r="I11" s="7" t="s">
        <v>130</v>
      </c>
      <c r="J11" s="7" t="s">
        <v>131</v>
      </c>
      <c r="K11" s="7" t="s">
        <v>132</v>
      </c>
      <c r="L11" s="7" t="s">
        <v>133</v>
      </c>
      <c r="M11" s="20" t="s">
        <v>134</v>
      </c>
      <c r="N11" s="20" t="s">
        <v>135</v>
      </c>
      <c r="O11" s="7" t="s">
        <v>136</v>
      </c>
      <c r="P11" s="7" t="s">
        <v>137</v>
      </c>
      <c r="Q11" s="20" t="s">
        <v>63</v>
      </c>
      <c r="R11" s="20" t="s">
        <v>64</v>
      </c>
    </row>
    <row r="12" customFormat="false" ht="91.5" hidden="false" customHeight="true" outlineLevel="0" collapsed="false">
      <c r="A12" s="5" t="s">
        <v>138</v>
      </c>
      <c r="B12" s="19" t="s">
        <v>139</v>
      </c>
      <c r="C12" s="10" t="s">
        <v>12</v>
      </c>
      <c r="D12" s="20" t="s">
        <v>127</v>
      </c>
      <c r="E12" s="10" t="s">
        <v>18</v>
      </c>
      <c r="F12" s="20" t="s">
        <v>52</v>
      </c>
      <c r="G12" s="7" t="s">
        <v>53</v>
      </c>
      <c r="H12" s="7" t="s">
        <v>140</v>
      </c>
      <c r="I12" s="7" t="s">
        <v>141</v>
      </c>
      <c r="J12" s="7" t="s">
        <v>142</v>
      </c>
      <c r="K12" s="7" t="s">
        <v>143</v>
      </c>
      <c r="L12" s="7" t="s">
        <v>144</v>
      </c>
      <c r="M12" s="20" t="s">
        <v>145</v>
      </c>
      <c r="N12" s="20" t="s">
        <v>122</v>
      </c>
      <c r="O12" s="7" t="s">
        <v>146</v>
      </c>
      <c r="P12" s="7" t="s">
        <v>137</v>
      </c>
      <c r="Q12" s="20" t="s">
        <v>63</v>
      </c>
      <c r="R12" s="20" t="s">
        <v>64</v>
      </c>
    </row>
  </sheetData>
  <autoFilter ref="A4:R12"/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2026-09-19T04:31:10Z</dcterms:created>
  <dc:creator>openpyxl</dc:creator>
  <dc:description/>
  <dc:language>en-US</dc:language>
  <cp:lastModifiedBy/>
  <dcterms:modified xsi:type="dcterms:W3CDTF">2026-09-19T04:31:10Z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