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sos de prueba" sheetId="2" state="visible" r:id="rId4"/>
  </sheets>
  <definedNames>
    <definedName function="false" hidden="true" localSheetId="1" name="_xlnm._FilterDatabase" vbProcedure="false">'Casos de prueba'!$A$4:$Q$40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<sst xmlns="http://schemas.openxmlformats.org/spreadsheetml/2006/main" count="671" uniqueCount="353">
  <si>
    <t xml:space="preserve">DASHBOARD DE EJECUCION - Sprint 3</t>
  </si>
  <si>
    <t xml:space="preserve">Todos los indicadores se calculan con fórmulas sobre la hoja 'Casos de prueba'</t>
  </si>
  <si>
    <t xml:space="preserve">Indicador</t>
  </si>
  <si>
    <t xml:space="preserve">Valor</t>
  </si>
  <si>
    <t xml:space="preserve">% sobre el total</t>
  </si>
  <si>
    <t xml:space="preserve">Lectura</t>
  </si>
  <si>
    <t xml:space="preserve">Total de casos diseñados</t>
  </si>
  <si>
    <t xml:space="preserve">32 del diseño base + 4 adicionales para cerrar la brecha de cobertura</t>
  </si>
  <si>
    <t xml:space="preserve">Casos ejecutados</t>
  </si>
  <si>
    <t xml:space="preserve">Casos que pudieron correrse de punta a punta</t>
  </si>
  <si>
    <t xml:space="preserve">Passed</t>
  </si>
  <si>
    <t xml:space="preserve">Resultado obtenido igual al esperado</t>
  </si>
  <si>
    <t xml:space="preserve">Failed</t>
  </si>
  <si>
    <t xml:space="preserve">Resultado distinto al esperado - genera bug report</t>
  </si>
  <si>
    <t xml:space="preserve">Blocked</t>
  </si>
  <si>
    <t xml:space="preserve">No se pudo ejecutar por un bug previo o falta de entorno</t>
  </si>
  <si>
    <t xml:space="preserve">% de éxito sobre el total</t>
  </si>
  <si>
    <t xml:space="preserve">Passed / total de casos diseñados</t>
  </si>
  <si>
    <t xml:space="preserve">% de éxito sobre ejecutados</t>
  </si>
  <si>
    <t xml:space="preserve">Passed / casos efectivamente ejecutados (excluye bloqueados)</t>
  </si>
  <si>
    <t xml:space="preserve">Bugs reportados</t>
  </si>
  <si>
    <t xml:space="preserve">1 crítico (S1), 3 mayores (S2), 3 menores (S3), 1 trivial (S4)</t>
  </si>
  <si>
    <t xml:space="preserve">Casos por tipo de prueba</t>
  </si>
  <si>
    <t xml:space="preserve">Cantidad</t>
  </si>
  <si>
    <t xml:space="preserve">Técnica aplicada</t>
  </si>
  <si>
    <t xml:space="preserve">Positivo</t>
  </si>
  <si>
    <t xml:space="preserve">Flujos principales con datos válidos</t>
  </si>
  <si>
    <t xml:space="preserve">Negativo</t>
  </si>
  <si>
    <t xml:space="preserve">Partición de equivalencias - clases inválidas</t>
  </si>
  <si>
    <t xml:space="preserve">Límite</t>
  </si>
  <si>
    <t xml:space="preserve">Valores límite en contraseña, teléfono, foto y direcciones</t>
  </si>
  <si>
    <t xml:space="preserve">Compatibilidad</t>
  </si>
  <si>
    <t xml:space="preserve">Ejecución en Chrome, Firefox y Safari mobile</t>
  </si>
  <si>
    <t xml:space="preserve">Interfaz</t>
  </si>
  <si>
    <t xml:space="preserve">Responsive en 375px y 768px</t>
  </si>
  <si>
    <t xml:space="preserve">No funcional</t>
  </si>
  <si>
    <t xml:space="preserve">Medición de tiempo de carga con DevTools</t>
  </si>
  <si>
    <t xml:space="preserve">TOTAL</t>
  </si>
  <si>
    <t xml:space="preserve">Debe coincidir con el total de casos diseñados</t>
  </si>
  <si>
    <t xml:space="preserve">MATRIZ DE CASOS DE PRUEBA - ShopNow S.A. | Módulo Registro y Perfil</t>
  </si>
  <si>
    <t xml:space="preserve">36 casos (32 del diseño base + 4 adicionales CP-033 a CP-036) | Técnicas: partición de equivalencias y valores límite | Ejecución: Sprint 3</t>
  </si>
  <si>
    <t xml:space="preserve">ID</t>
  </si>
  <si>
    <t xml:space="preserve">Flujo</t>
  </si>
  <si>
    <t xml:space="preserve">Req. asociado</t>
  </si>
  <si>
    <t xml:space="preserve">Descripción del caso</t>
  </si>
  <si>
    <t xml:space="preserve">Tipo</t>
  </si>
  <si>
    <t xml:space="preserve">Prioridad</t>
  </si>
  <si>
    <t xml:space="preserve">Precondiciones</t>
  </si>
  <si>
    <t xml:space="preserve">Pasos para ejecutar</t>
  </si>
  <si>
    <t xml:space="preserve">Datos de prueba</t>
  </si>
  <si>
    <t xml:space="preserve">Resultado esperado</t>
  </si>
  <si>
    <t xml:space="preserve">Resultado obtenido</t>
  </si>
  <si>
    <t xml:space="preserve">Estado</t>
  </si>
  <si>
    <t xml:space="preserve">Navegador / Entorno</t>
  </si>
  <si>
    <t xml:space="preserve">Evidencia</t>
  </si>
  <si>
    <t xml:space="preserve">Bug asociado</t>
  </si>
  <si>
    <t xml:space="preserve">Ejecutado por</t>
  </si>
  <si>
    <t xml:space="preserve">Fecha</t>
  </si>
  <si>
    <t xml:space="preserve">CP-001</t>
  </si>
  <si>
    <t xml:space="preserve">F1 - Registro de nuevo usuario</t>
  </si>
  <si>
    <t xml:space="preserve">RF-01, RF-03, RF-05</t>
  </si>
  <si>
    <t xml:space="preserve">Registro exitoso con todos los datos válidos</t>
  </si>
  <si>
    <t xml:space="preserve">Alta</t>
  </si>
  <si>
    <t xml:space="preserve">Usuario no logueado / navegador en modo incógnito</t>
  </si>
  <si>
    <t xml:space="preserve">1. Ingresar a /registro
2. Completar nombre, apellido, email, contraseña y confirmación
3. Marcar T&amp;C
4. Clic en 'Crear cuenta'</t>
  </si>
  <si>
    <t xml:space="preserve">Juan / Pérez / qa_test01@mail.com / TestPass1234!</t>
  </si>
  <si>
    <t xml:space="preserve">La cuenta se crea, se redirige al panel de perfil y se muestra mensaje de bienvenida</t>
  </si>
  <si>
    <t xml:space="preserve">La cuenta se crea correctamente. Se observa que el placeholder del campo 'Apellido' dice 'Ingresa tu nombre' (defecto cosmético -&gt; BUG-008)</t>
  </si>
  <si>
    <t xml:space="preserve">Chrome 120</t>
  </si>
  <si>
    <t xml:space="preserve">CP-001-registro-exitoso-chrome.png</t>
  </si>
  <si>
    <t xml:space="preserve">BUG-008 (cosmético, no bloquea el flujo)</t>
  </si>
  <si>
    <t xml:space="preserve">Jeisson M. Uribe</t>
  </si>
  <si>
    <t xml:space="preserve">08/09/2026</t>
  </si>
  <si>
    <t xml:space="preserve">CP-002</t>
  </si>
  <si>
    <t xml:space="preserve">RF-01</t>
  </si>
  <si>
    <t xml:space="preserve">Email sin @ debe mostrar error de formato</t>
  </si>
  <si>
    <t xml:space="preserve">Usuario no logueado</t>
  </si>
  <si>
    <t xml:space="preserve">1. Ingresar a /registro
2. Escribir email sin @
3. Salir del campo (blur)</t>
  </si>
  <si>
    <t xml:space="preserve">qa_test02mail.com</t>
  </si>
  <si>
    <t xml:space="preserve">Mensaje 'Ingresa un email válido' y el formulario no se envía</t>
  </si>
  <si>
    <t xml:space="preserve">Se muestra el mensaje esperado y el envío queda bloqueado</t>
  </si>
  <si>
    <t xml:space="preserve">CP-002-email-sin-arroba-chrome.png</t>
  </si>
  <si>
    <t xml:space="preserve">-</t>
  </si>
  <si>
    <t xml:space="preserve">CP-003</t>
  </si>
  <si>
    <t xml:space="preserve">Email sin dominio debe mostrar error de formato</t>
  </si>
  <si>
    <t xml:space="preserve">1. Ingresar a /registro
2. Escribir email sin dominio
3. Salir del campo</t>
  </si>
  <si>
    <t xml:space="preserve">qa_test02@</t>
  </si>
  <si>
    <t xml:space="preserve">Se muestra el mensaje esperado</t>
  </si>
  <si>
    <t xml:space="preserve">CP-003-email-sin-dominio-chrome.png</t>
  </si>
  <si>
    <t xml:space="preserve">CP-004</t>
  </si>
  <si>
    <t xml:space="preserve">Email válido completo es aceptado</t>
  </si>
  <si>
    <t xml:space="preserve">1. Ingresar a /registro
2. Escribir email válido
3. Salir del campo</t>
  </si>
  <si>
    <t xml:space="preserve">qa_test03@mail.com</t>
  </si>
  <si>
    <t xml:space="preserve">El campo se valida en verde sin mensajes de error</t>
  </si>
  <si>
    <t xml:space="preserve">El campo se acepta correctamente</t>
  </si>
  <si>
    <t xml:space="preserve">CP-004-email-valido-chrome.png</t>
  </si>
  <si>
    <t xml:space="preserve">CP-005</t>
  </si>
  <si>
    <t xml:space="preserve">RF-02</t>
  </si>
  <si>
    <t xml:space="preserve">Email ya registrado debe ser rechazado con mensaje específico</t>
  </si>
  <si>
    <t xml:space="preserve">Existe una cuenta previa con qa_test01@mail.com</t>
  </si>
  <si>
    <t xml:space="preserve">1. Ingresar a /registro
2. Completar el formulario con un email ya registrado
3. Enviar</t>
  </si>
  <si>
    <t xml:space="preserve">qa_test01@mail.com / TestPass1234!</t>
  </si>
  <si>
    <t xml:space="preserve">Mensaje 'Este email ya está registrado. Inicia sesión o recupera tu contraseña'</t>
  </si>
  <si>
    <t xml:space="preserve">El sistema muestra el mensaje genérico 'Error inesperado', sin indicar la causa real -&gt; BUG-005</t>
  </si>
  <si>
    <t xml:space="preserve">CP-005-email-duplicado-chrome.png</t>
  </si>
  <si>
    <t xml:space="preserve">BUG-005</t>
  </si>
  <si>
    <t xml:space="preserve">CP-006</t>
  </si>
  <si>
    <t xml:space="preserve">Campo email vacío debe impedir el envío</t>
  </si>
  <si>
    <t xml:space="preserve">1. Ingresar a /registro
2. Dejar email vacío
3. Completar el resto y enviar</t>
  </si>
  <si>
    <t xml:space="preserve">(vacío)</t>
  </si>
  <si>
    <t xml:space="preserve">Mensaje 'El email es obligatorio' y el formulario no se envía</t>
  </si>
  <si>
    <t xml:space="preserve">CP-006-email-vacio-chrome.png</t>
  </si>
  <si>
    <t xml:space="preserve">CP-007</t>
  </si>
  <si>
    <t xml:space="preserve">F2 - Validación de contraseña</t>
  </si>
  <si>
    <t xml:space="preserve">RF-03</t>
  </si>
  <si>
    <t xml:space="preserve">Contraseña de 7 caracteres debe ser rechazada (límite inferior - 1)</t>
  </si>
  <si>
    <t xml:space="preserve">1. Ingresar a /registro
2. Escribir contraseña de 7 caracteres
3. Enviar</t>
  </si>
  <si>
    <t xml:space="preserve">Abc123d</t>
  </si>
  <si>
    <t xml:space="preserve">Mensaje 'La contraseña debe tener mínimo 8 caracteres'</t>
  </si>
  <si>
    <t xml:space="preserve">CP-007-password-7-caracteres-chrome.png</t>
  </si>
  <si>
    <t xml:space="preserve">CP-008</t>
  </si>
  <si>
    <t xml:space="preserve">Contraseña de 8 caracteres sin mayúscula debe ser rechazada</t>
  </si>
  <si>
    <t xml:space="preserve">1. Ingresar a /registro
2. Escribir contraseña sin mayúscula
3. Enviar</t>
  </si>
  <si>
    <t xml:space="preserve">abcde123</t>
  </si>
  <si>
    <t xml:space="preserve">Mensaje 'La contraseña debe incluir al menos 1 mayúscula'</t>
  </si>
  <si>
    <t xml:space="preserve">CP-008-password-sin-mayuscula-chrome.png</t>
  </si>
  <si>
    <t xml:space="preserve">CP-009</t>
  </si>
  <si>
    <t xml:space="preserve">Contraseña de 8 caracteres sin número debe ser rechazada</t>
  </si>
  <si>
    <t xml:space="preserve">1. Ingresar a /registro
2. Escribir contraseña sin número
3. Enviar</t>
  </si>
  <si>
    <t xml:space="preserve">AbcdefGH</t>
  </si>
  <si>
    <t xml:space="preserve">Mensaje 'La contraseña debe incluir al menos 1 número'</t>
  </si>
  <si>
    <t xml:space="preserve">CP-009-password-sin-numero-chrome.png</t>
  </si>
  <si>
    <t xml:space="preserve">CP-010</t>
  </si>
  <si>
    <t xml:space="preserve">RF-03, RNF-04</t>
  </si>
  <si>
    <t xml:space="preserve">Contraseña válida de 8 caracteres (límite inferior) y enmascarado del campo</t>
  </si>
  <si>
    <t xml:space="preserve">Usuario no logueado / navegador sin cache</t>
  </si>
  <si>
    <t xml:space="preserve">1. Ingresar a /registro
2. Hacer clic en el campo 'Contraseña'
3. Escribir la contraseña
4. Observar el campo</t>
  </si>
  <si>
    <t xml:space="preserve">Abcde123</t>
  </si>
  <si>
    <t xml:space="preserve">La contraseña es aceptada y los caracteres se muestran enmascarados ('......'); solo se revelan al accionar el icono del ojo</t>
  </si>
  <si>
    <t xml:space="preserve">La contraseña es aceptada, pero el texto se muestra en claro desde el primer carácter sin accionar el icono -&gt; BUG-001</t>
  </si>
  <si>
    <t xml:space="preserve">CP-010-password-8-caracteres-chrome.png</t>
  </si>
  <si>
    <t xml:space="preserve">BUG-001</t>
  </si>
  <si>
    <t xml:space="preserve">CP-011</t>
  </si>
  <si>
    <t xml:space="preserve">RF-04</t>
  </si>
  <si>
    <t xml:space="preserve">Confirmación distinta a la contraseña debe ser rechazada</t>
  </si>
  <si>
    <t xml:space="preserve">1. Ingresar a /registro
2. Escribir contraseña
3. Escribir una confirmación distinta
4. Enviar</t>
  </si>
  <si>
    <t xml:space="preserve">TestPass1234! / TestPass1235!</t>
  </si>
  <si>
    <t xml:space="preserve">Mensaje 'Las contraseñas no coinciden' y el formulario no se envía</t>
  </si>
  <si>
    <t xml:space="preserve">CP-011-confirmacion-distinta-chrome.png</t>
  </si>
  <si>
    <t xml:space="preserve">CP-012</t>
  </si>
  <si>
    <t xml:space="preserve">Campo contraseña vacío debe impedir el envío</t>
  </si>
  <si>
    <t xml:space="preserve">1. Ingresar a /registro
2. Dejar contraseña vacía
3. Enviar</t>
  </si>
  <si>
    <t xml:space="preserve">Mensaje 'La contraseña es obligatoria'</t>
  </si>
  <si>
    <t xml:space="preserve">CP-012-password-vacio-chrome.png</t>
  </si>
  <si>
    <t xml:space="preserve">CP-013</t>
  </si>
  <si>
    <t xml:space="preserve">F3 - Terminos y condiciones</t>
  </si>
  <si>
    <t xml:space="preserve">RF-05</t>
  </si>
  <si>
    <t xml:space="preserve">Enviar el formulario sin marcar el checkbox de T&amp;C</t>
  </si>
  <si>
    <t xml:space="preserve">1. Completar todos los campos válidos
2. NO marcar el checkbox de T&amp;C
3. Clic en 'Crear cuenta'</t>
  </si>
  <si>
    <t xml:space="preserve">qa_test04@mail.com / TestPass1234!</t>
  </si>
  <si>
    <t xml:space="preserve">Mensaje 'Debes aceptar los terminos y condiciones' y la cuenta no se crea</t>
  </si>
  <si>
    <t xml:space="preserve">Se muestra el mensaje esperado y no se crea la cuenta</t>
  </si>
  <si>
    <t xml:space="preserve">CP-013-tyc-sin-marcar-chrome.png</t>
  </si>
  <si>
    <t xml:space="preserve">CP-014</t>
  </si>
  <si>
    <t xml:space="preserve">Marcar T&amp;C y enviar formulario válido</t>
  </si>
  <si>
    <t xml:space="preserve">1. Completar todos los campos válidos
2. Marcar el checkbox de T&amp;C
3. Enviar</t>
  </si>
  <si>
    <t xml:space="preserve">qa_test05@mail.com / TestPass1234!</t>
  </si>
  <si>
    <t xml:space="preserve">La cuenta se crea correctamente y se redirige al perfil</t>
  </si>
  <si>
    <t xml:space="preserve">La cuenta se crea correctamente</t>
  </si>
  <si>
    <t xml:space="preserve">CP-014-tyc-marcado-chrome.png</t>
  </si>
  <si>
    <t xml:space="preserve">CP-015</t>
  </si>
  <si>
    <t xml:space="preserve">RF-06</t>
  </si>
  <si>
    <t xml:space="preserve">El email de bienvenida llega en menos de 2 minutos</t>
  </si>
  <si>
    <t xml:space="preserve">Registro recién completado con CP-014</t>
  </si>
  <si>
    <t xml:space="preserve">1. Completar el registro
2. Abrir la casilla del email registrado
3. Cronometrar la llegada</t>
  </si>
  <si>
    <t xml:space="preserve">qa_test05@mail.com</t>
  </si>
  <si>
    <t xml:space="preserve">El email llega recién a los 15 minutos (medido en 3 ejecuciones: 14:12, 15:03 y 15:41) -&gt; BUG-003</t>
  </si>
  <si>
    <t xml:space="preserve">CP-015-email-bienvenida-demora-chrome.png</t>
  </si>
  <si>
    <t xml:space="preserve">BUG-003</t>
  </si>
  <si>
    <t xml:space="preserve">CP-016</t>
  </si>
  <si>
    <t xml:space="preserve">El email de bienvenida contiene un link funcional</t>
  </si>
  <si>
    <t xml:space="preserve">Media</t>
  </si>
  <si>
    <t xml:space="preserve">El email de bienvenida fue recibido</t>
  </si>
  <si>
    <t xml:space="preserve">1. Abrir el email de bienvenida
2. Hacer clic en el link 'Ir a mi cuenta'
3. Verificar el destino</t>
  </si>
  <si>
    <t xml:space="preserve">El link abre la sesión del usuario en shopnow.com.ar</t>
  </si>
  <si>
    <t xml:space="preserve">BLOQUEADO: el email no llega dentro de la ventana de ejecución definida por BUG-003, por lo que no puede verificarse el link</t>
  </si>
  <si>
    <t xml:space="preserve">CP-016-bloqueado-por-BUG-003.png</t>
  </si>
  <si>
    <t xml:space="preserve">Bloqueado por BUG-003</t>
  </si>
  <si>
    <t xml:space="preserve">CP-017</t>
  </si>
  <si>
    <t xml:space="preserve">F4 - Edición de perfil</t>
  </si>
  <si>
    <t xml:space="preserve">RF-07</t>
  </si>
  <si>
    <t xml:space="preserve">Editar nombre con un valor válido</t>
  </si>
  <si>
    <t xml:space="preserve">Usuario logueado en /perfil</t>
  </si>
  <si>
    <t xml:space="preserve">1. Ingresar a /perfil
2. Editar el campo nombre
3. Guardar cambios
4. Recargar la página</t>
  </si>
  <si>
    <t xml:space="preserve">Nombre: Jeisson</t>
  </si>
  <si>
    <t xml:space="preserve">El nombre se guarda y persiste tras recargar</t>
  </si>
  <si>
    <t xml:space="preserve">El nombre se guarda y persiste correctamente</t>
  </si>
  <si>
    <t xml:space="preserve">CP-017-editar-nombre-chrome.png</t>
  </si>
  <si>
    <t xml:space="preserve">CP-018</t>
  </si>
  <si>
    <t xml:space="preserve">Campo nombre vacío debe ser rechazado</t>
  </si>
  <si>
    <t xml:space="preserve">1. Borrar el contenido del campo nombre
2. Guardar cambios</t>
  </si>
  <si>
    <t xml:space="preserve">Mensaje 'El nombre es obligatorio' y los cambios no se guardan</t>
  </si>
  <si>
    <t xml:space="preserve">CP-018-nombre-vacio-chrome.png</t>
  </si>
  <si>
    <t xml:space="preserve">CP-019</t>
  </si>
  <si>
    <t xml:space="preserve">Teléfono de 9 digitos debe ser rechazado (límite inferior - 1)</t>
  </si>
  <si>
    <t xml:space="preserve">1. Escribir un teléfono de 9 digitos
2. Guardar cambios</t>
  </si>
  <si>
    <t xml:space="preserve">123456789</t>
  </si>
  <si>
    <t xml:space="preserve">Mensaje 'El teléfono debe tener entre 10 y 11 digitos'</t>
  </si>
  <si>
    <t xml:space="preserve">CP-019-telefono-9-digitos-chrome.png</t>
  </si>
  <si>
    <t xml:space="preserve">10/09/2026</t>
  </si>
  <si>
    <t xml:space="preserve">CP-020</t>
  </si>
  <si>
    <t xml:space="preserve">Teléfono de 10 digitos debe ser aceptado (límite inferior válido)</t>
  </si>
  <si>
    <t xml:space="preserve">1. Escribir un teléfono de 10 digitos
2. Guardar cambios
3. Recargar</t>
  </si>
  <si>
    <t xml:space="preserve">1234567890</t>
  </si>
  <si>
    <t xml:space="preserve">El teléfono se guarda y persiste tras recargar</t>
  </si>
  <si>
    <t xml:space="preserve">El teléfono se guarda correctamente</t>
  </si>
  <si>
    <t xml:space="preserve">CP-020-telefono-10-digitos-chrome.png</t>
  </si>
  <si>
    <t xml:space="preserve">CP-021</t>
  </si>
  <si>
    <t xml:space="preserve">Fecha de nacimiento futura debe ser rechazada</t>
  </si>
  <si>
    <t xml:space="preserve">1. Seleccionar una fecha de nacimiento posterior a hoy
2. Guardar cambios
3. Recargar</t>
  </si>
  <si>
    <t xml:space="preserve">2030-01-15</t>
  </si>
  <si>
    <t xml:space="preserve">Mensaje 'La fecha de nacimiento no puede ser futura' y el dato no se guarda</t>
  </si>
  <si>
    <t xml:space="preserve">El sistema acepta y persiste la fecha 2030-01-15 sin mostrar ningún error -&gt; BUG-006</t>
  </si>
  <si>
    <t xml:space="preserve">CP-021-fecha-futura-chrome.png</t>
  </si>
  <si>
    <t xml:space="preserve">BUG-006</t>
  </si>
  <si>
    <t xml:space="preserve">CP-022</t>
  </si>
  <si>
    <t xml:space="preserve">F5 - Cambio de contraseña</t>
  </si>
  <si>
    <t xml:space="preserve">RF-08</t>
  </si>
  <si>
    <t xml:space="preserve">Cambio de contraseña exitoso con contraseña actual correcta</t>
  </si>
  <si>
    <t xml:space="preserve">Usuario logueado en /perfil/seguridad</t>
  </si>
  <si>
    <t xml:space="preserve">1. Ingresar la contraseña actual
2. Ingresar la nueva contraseña y su confirmación
3. Guardar
4. Cerrar sesión e iniciar con la nueva</t>
  </si>
  <si>
    <t xml:space="preserve">ShopNow2024! -&gt; NuevaClave2026!</t>
  </si>
  <si>
    <t xml:space="preserve">La contraseña se actualiza y permite iniciar sesión con la nueva</t>
  </si>
  <si>
    <t xml:space="preserve">La contraseña se actualiza correctamente</t>
  </si>
  <si>
    <t xml:space="preserve">CP-022-cambio-password-ok-chrome.png</t>
  </si>
  <si>
    <t xml:space="preserve">CP-023</t>
  </si>
  <si>
    <t xml:space="preserve">Contraseña actual incorrecta debe bloquear el cambio</t>
  </si>
  <si>
    <t xml:space="preserve">1. Ingresar una contraseña actual incorrecta
2. Ingresar nueva contraseña válida
3. Guardar</t>
  </si>
  <si>
    <t xml:space="preserve">ClaveErronea1 -&gt; NuevaClave2026!</t>
  </si>
  <si>
    <t xml:space="preserve">Mensaje 'La contraseña actual es incorrecta' y el cambio no se aplica</t>
  </si>
  <si>
    <t xml:space="preserve">CP-023-password-actual-incorrecta-chrome.png</t>
  </si>
  <si>
    <t xml:space="preserve">CP-024</t>
  </si>
  <si>
    <t xml:space="preserve">RF-03, RF-08</t>
  </si>
  <si>
    <t xml:space="preserve">Nueva contraseña que no cumple los requisitos debe ser rechazada</t>
  </si>
  <si>
    <t xml:space="preserve">1. Ingresar la contraseña actual correcta
2. Ingresar una nueva contraseña debil
3. Guardar</t>
  </si>
  <si>
    <t xml:space="preserve">ShopNow2024! -&gt; clave</t>
  </si>
  <si>
    <t xml:space="preserve">Mensaje con la regla incumplida (mínimo 8 caracteres, 1 mayúscula y 1 número)</t>
  </si>
  <si>
    <t xml:space="preserve">CP-024-nueva-password-debil-chrome.png</t>
  </si>
  <si>
    <t xml:space="preserve">CP-025</t>
  </si>
  <si>
    <t xml:space="preserve">F6 - Foto de perfil</t>
  </si>
  <si>
    <t xml:space="preserve">RF-09</t>
  </si>
  <si>
    <t xml:space="preserve">Carga de imagen JPG válida menor a 2 MB</t>
  </si>
  <si>
    <t xml:space="preserve">1. Clic en 'Cambiar foto'
2. Seleccionar un JPG de 1,2 MB
3. Confirmar la carga</t>
  </si>
  <si>
    <t xml:space="preserve">foto-perfil-1200kb.jpg</t>
  </si>
  <si>
    <t xml:space="preserve">Se muestra una previsualización de la imagen antes de confirmar y luego la foto queda actualizada</t>
  </si>
  <si>
    <t xml:space="preserve">La foto se carga correctamente, pero no se muestra ninguna previsualización antes de confirmar -&gt; BUG-007</t>
  </si>
  <si>
    <t xml:space="preserve">CP-025-foto-jpg-valida-chrome.png</t>
  </si>
  <si>
    <t xml:space="preserve">BUG-007</t>
  </si>
  <si>
    <t xml:space="preserve">CP-026</t>
  </si>
  <si>
    <t xml:space="preserve">Imagen PNG de 2,1 MB debe ser rechazada (límite superior + 1)</t>
  </si>
  <si>
    <t xml:space="preserve">1. Clic en 'Cambiar foto'
2. Seleccionar un PNG de 2,1 MB
3. Confirmar</t>
  </si>
  <si>
    <t xml:space="preserve">foto-2100kb.png</t>
  </si>
  <si>
    <t xml:space="preserve">Mensaje 'El archivo no puede superar los 2 MB' y la foto no se carga</t>
  </si>
  <si>
    <t xml:space="preserve">CP-026-foto-png-2.1mb-chrome.png</t>
  </si>
  <si>
    <t xml:space="preserve">CP-027</t>
  </si>
  <si>
    <t xml:space="preserve">Archivo PDF debe ser rechazado por formato</t>
  </si>
  <si>
    <t xml:space="preserve">1. Clic en 'Cambiar foto'
2. Seleccionar un archivo PDF
3. Confirmar</t>
  </si>
  <si>
    <t xml:space="preserve">documento.pdf</t>
  </si>
  <si>
    <t xml:space="preserve">Mensaje 'Formato no permitido. Usa JPG o PNG'</t>
  </si>
  <si>
    <t xml:space="preserve">CP-027-foto-formato-pdf-chrome.png</t>
  </si>
  <si>
    <t xml:space="preserve">CP-028</t>
  </si>
  <si>
    <t xml:space="preserve">Imagen JPG de exactamente 2 MB debe ser aceptada (límite superior válido)</t>
  </si>
  <si>
    <t xml:space="preserve">1. Clic en 'Cambiar foto'
2. Seleccionar un JPG de 2.048 KB
3. Confirmar</t>
  </si>
  <si>
    <t xml:space="preserve">foto-2048kb.jpg</t>
  </si>
  <si>
    <t xml:space="preserve">La imagen se acepta y la foto de perfil se actualiza</t>
  </si>
  <si>
    <t xml:space="preserve">La imagen se acepta correctamente</t>
  </si>
  <si>
    <t xml:space="preserve">CP-028-foto-jpg-2mb-chrome.png</t>
  </si>
  <si>
    <t xml:space="preserve">CP-029</t>
  </si>
  <si>
    <t xml:space="preserve">F7 - Compatibilidad y responsive</t>
  </si>
  <si>
    <t xml:space="preserve">RNF-02</t>
  </si>
  <si>
    <t xml:space="preserve">Flujo de registro en Firefox equivalente a Chrome</t>
  </si>
  <si>
    <t xml:space="preserve">Firefox 121 instalado / usuario no logueado</t>
  </si>
  <si>
    <t xml:space="preserve">1. Ingresar a /registro en Firefox
2. Completar el formulario válido
3. Clic en 'Crear cuenta'
4. Revisar la consola (F12)</t>
  </si>
  <si>
    <t xml:space="preserve">qa_test06@mail.com / TestPass1234!</t>
  </si>
  <si>
    <t xml:space="preserve">La cuenta se crea igual que en Chrome, sin errores en consola</t>
  </si>
  <si>
    <t xml:space="preserve">El botón 'Crear cuenta' no responde al clic. No se dispara ninguna petición en Network y la consola muestra 'Uncaught TypeError: e.submitForm is not a function' -&gt; BUG-002</t>
  </si>
  <si>
    <t xml:space="preserve">Firefox 121</t>
  </si>
  <si>
    <t xml:space="preserve">CP-029-registro-firefox.png</t>
  </si>
  <si>
    <t xml:space="preserve">BUG-002</t>
  </si>
  <si>
    <t xml:space="preserve">CP-030</t>
  </si>
  <si>
    <t xml:space="preserve">Flujo de registro en Safari mobile</t>
  </si>
  <si>
    <t xml:space="preserve">Dispositivo iOS con Safari</t>
  </si>
  <si>
    <t xml:space="preserve">1. Ingresar a /registro desde Safari mobile
2. Completar el formulario válido
3. Enviar</t>
  </si>
  <si>
    <t xml:space="preserve">qa_test07@mail.com / TestPass1234!</t>
  </si>
  <si>
    <t xml:space="preserve">La cuenta se crea igual que en Chrome, sin diferencias visuales ni funcionales</t>
  </si>
  <si>
    <t xml:space="preserve">BLOQUEADO: no se dispone de dispositivo iOS ni de licencia de laboratorio de dispositivos en el entorno asignado. Riesgo de cobertura informado a la QA Lead</t>
  </si>
  <si>
    <t xml:space="preserve">Safari mobile</t>
  </si>
  <si>
    <t xml:space="preserve">CP-030-bloqueado-sin-dispositivo-ios.png</t>
  </si>
  <si>
    <t xml:space="preserve">Sin bug asociado - bloqueo de entorno</t>
  </si>
  <si>
    <t xml:space="preserve">CP-031</t>
  </si>
  <si>
    <t xml:space="preserve">RNF-03</t>
  </si>
  <si>
    <t xml:space="preserve">Formulario responsive en mobile 375px</t>
  </si>
  <si>
    <t xml:space="preserve">DevTools en modo responsive 375px</t>
  </si>
  <si>
    <t xml:space="preserve">1. Abrir /perfil con DevTools en 375px
2. Editar un dato
3. Intentar presionar 'Guardar cambios'</t>
  </si>
  <si>
    <t xml:space="preserve">Viewport 375x667</t>
  </si>
  <si>
    <t xml:space="preserve">Todos los controles son visibles y operables sin scroll horizontal</t>
  </si>
  <si>
    <t xml:space="preserve">El botón 'Guardar cambios' queda fuera del viewport y no puede accionarse; el usuario no puede guardar desde mobile -&gt; BUG-004</t>
  </si>
  <si>
    <t xml:space="preserve">Chrome 120 (responsive)</t>
  </si>
  <si>
    <t xml:space="preserve">CP-031-responsive-375px-chrome.png</t>
  </si>
  <si>
    <t xml:space="preserve">BUG-004</t>
  </si>
  <si>
    <t xml:space="preserve">CP-032</t>
  </si>
  <si>
    <t xml:space="preserve">Layout correcto en tablet 768px</t>
  </si>
  <si>
    <t xml:space="preserve">DevTools en modo responsive 768px</t>
  </si>
  <si>
    <t xml:space="preserve">1. Abrir /registro y /perfil con DevTools en 768px
2. Revisar alineación, tipografía y controles</t>
  </si>
  <si>
    <t xml:space="preserve">Viewport 768x1024</t>
  </si>
  <si>
    <t xml:space="preserve">El layout se adapta a dos columnas sin superposiciones ni scroll horizontal</t>
  </si>
  <si>
    <t xml:space="preserve">El layout se adapta correctamente</t>
  </si>
  <si>
    <t xml:space="preserve">CP-032-responsive-768px-chrome.png</t>
  </si>
  <si>
    <t xml:space="preserve">CP-033</t>
  </si>
  <si>
    <t xml:space="preserve">F8 - Direcciones de envío (adicional)</t>
  </si>
  <si>
    <t xml:space="preserve">RF-10</t>
  </si>
  <si>
    <t xml:space="preserve">Agregar 5 direcciones de envío (límite superior válido)</t>
  </si>
  <si>
    <t xml:space="preserve">Usuario logueado en /perfil/direcciones</t>
  </si>
  <si>
    <t xml:space="preserve">1. Agregar 5 direcciones válidas una a una
2. Guardar
3. Recargar la página</t>
  </si>
  <si>
    <t xml:space="preserve">5 direcciones de CABA</t>
  </si>
  <si>
    <t xml:space="preserve">Las 5 direcciones se guardan y persisten tras recargar</t>
  </si>
  <si>
    <t xml:space="preserve">Las 5 direcciones se guardan correctamente</t>
  </si>
  <si>
    <t xml:space="preserve">CP-033-cinco-direcciones-chrome.png</t>
  </si>
  <si>
    <t xml:space="preserve">CP-034</t>
  </si>
  <si>
    <t xml:space="preserve">Intentar agregar una sexta dirección (límite superior + 1)</t>
  </si>
  <si>
    <t xml:space="preserve">El usuario ya tiene 5 direcciones cargadas</t>
  </si>
  <si>
    <t xml:space="preserve">1. Clic en 'Agregar dirección'
2. Completar los datos
3. Guardar</t>
  </si>
  <si>
    <t xml:space="preserve">6a dirección</t>
  </si>
  <si>
    <t xml:space="preserve">Mensaje 'Solo puedes guardar hasta 5 direcciones' y la dirección no se agrega</t>
  </si>
  <si>
    <t xml:space="preserve">CP-034-sexta-direccion-chrome.png</t>
  </si>
  <si>
    <t xml:space="preserve">CP-035</t>
  </si>
  <si>
    <t xml:space="preserve">RF-11</t>
  </si>
  <si>
    <t xml:space="preserve">Marcar una segunda dirección como principal desmarca la anterior</t>
  </si>
  <si>
    <t xml:space="preserve">El usuario tiene al menos 2 direcciones y una marcada como principal</t>
  </si>
  <si>
    <t xml:space="preserve">1. Marcar la dirección 2 como 'principal'
2. Guardar
3. Recargar y revisar la dirección 1</t>
  </si>
  <si>
    <t xml:space="preserve">Dirección 1 -&gt; Dirección 2</t>
  </si>
  <si>
    <t xml:space="preserve">Solo la dirección 2 queda como principal; la dirección 1 pierde la marca</t>
  </si>
  <si>
    <t xml:space="preserve">El comportamiento es el esperado</t>
  </si>
  <si>
    <t xml:space="preserve">CP-035-direccion-principal-unica-chrome.png</t>
  </si>
  <si>
    <t xml:space="preserve">CP-036</t>
  </si>
  <si>
    <t xml:space="preserve">RNF-01</t>
  </si>
  <si>
    <t xml:space="preserve">Tiempo de carga de /registro menor a 3 segundos</t>
  </si>
  <si>
    <t xml:space="preserve">Navegador sin cache / DevTools abierto en Network</t>
  </si>
  <si>
    <t xml:space="preserve">1. Abrir DevTools &gt; Network con 'Disable cache'
2. Cargar /registro
3. Leer el evento 'Load' (3 mediciones)</t>
  </si>
  <si>
    <t xml:space="preserve">Mediciones: 1,84 s / 2,02 s / 1,91 s</t>
  </si>
  <si>
    <t xml:space="preserve">El evento Load ocurre en menos de 3.000 ms</t>
  </si>
  <si>
    <t xml:space="preserve">Promedio de 1,92 s en las 3 mediciones</t>
  </si>
  <si>
    <t xml:space="preserve">CP-036-tiempo-carga-registro-chrome.png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</si>
</sst>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9C65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1F3864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58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COUNTA('Casos de prueba'!A5:A40)</f>
        <v>36</v>
      </c>
      <c r="C5" s="6"/>
      <c r="D5" s="7" t="s">
        <v>7</v>
      </c>
    </row>
    <row r="6" customFormat="false" ht="15" hidden="false" customHeight="false" outlineLevel="0" collapsed="false">
      <c r="A6" s="4" t="s">
        <v>8</v>
      </c>
      <c r="B6" s="5" t="n">
        <f aca="false">COUNTIF('Casos de prueba'!L5:L40,"Passed")+COUNTIF('Casos de prueba'!L5:L40,"Failed")</f>
        <v>34</v>
      </c>
      <c r="C6" s="8" t="n">
        <f aca="false">B6/COUNTA('Casos de prueba'!A5:A40)</f>
        <v>0.944444444444444</v>
      </c>
      <c r="D6" s="7" t="s">
        <v>9</v>
      </c>
    </row>
    <row r="7" customFormat="false" ht="15" hidden="false" customHeight="false" outlineLevel="0" collapsed="false">
      <c r="A7" s="9" t="s">
        <v>10</v>
      </c>
      <c r="B7" s="10" t="n">
        <f aca="false">COUNTIF('Casos de prueba'!L5:L40,"Passed")</f>
        <v>27</v>
      </c>
      <c r="C7" s="11" t="n">
        <f aca="false">B7/COUNTA('Casos de prueba'!A5:A40)</f>
        <v>0.75</v>
      </c>
      <c r="D7" s="12" t="s">
        <v>11</v>
      </c>
    </row>
    <row r="8" customFormat="false" ht="15" hidden="false" customHeight="false" outlineLevel="0" collapsed="false">
      <c r="A8" s="13" t="s">
        <v>12</v>
      </c>
      <c r="B8" s="14" t="n">
        <f aca="false">COUNTIF('Casos de prueba'!L5:L40,"Failed")</f>
        <v>7</v>
      </c>
      <c r="C8" s="15" t="n">
        <f aca="false">B8/COUNTA('Casos de prueba'!A5:A40)</f>
        <v>0.194444444444444</v>
      </c>
      <c r="D8" s="16" t="s">
        <v>13</v>
      </c>
    </row>
    <row r="9" customFormat="false" ht="15" hidden="false" customHeight="false" outlineLevel="0" collapsed="false">
      <c r="A9" s="17" t="s">
        <v>14</v>
      </c>
      <c r="B9" s="18" t="n">
        <f aca="false">COUNTIF('Casos de prueba'!L5:L40,"Blocked")</f>
        <v>2</v>
      </c>
      <c r="C9" s="19" t="n">
        <f aca="false">B9/COUNTA('Casos de prueba'!A5:A40)</f>
        <v>0.0555555555555556</v>
      </c>
      <c r="D9" s="20" t="s">
        <v>15</v>
      </c>
    </row>
    <row r="10" customFormat="false" ht="15" hidden="false" customHeight="false" outlineLevel="0" collapsed="false">
      <c r="A10" s="4" t="s">
        <v>16</v>
      </c>
      <c r="B10" s="21" t="n">
        <f aca="false">IFERROR(B7/COUNTA('Casos de prueba'!A5:A40),0)</f>
        <v>0.75</v>
      </c>
      <c r="C10" s="6"/>
      <c r="D10" s="7" t="s">
        <v>17</v>
      </c>
    </row>
    <row r="11" customFormat="false" ht="15" hidden="false" customHeight="false" outlineLevel="0" collapsed="false">
      <c r="A11" s="4" t="s">
        <v>18</v>
      </c>
      <c r="B11" s="21" t="n">
        <f aca="false">IFERROR(B7/B6,0)</f>
        <v>0.794117647058824</v>
      </c>
      <c r="C11" s="6"/>
      <c r="D11" s="7" t="s">
        <v>19</v>
      </c>
    </row>
    <row r="12" customFormat="false" ht="15" hidden="false" customHeight="false" outlineLevel="0" collapsed="false">
      <c r="A12" s="4" t="s">
        <v>20</v>
      </c>
      <c r="B12" s="5" t="n">
        <f aca="false">8</f>
        <v>8</v>
      </c>
      <c r="C12" s="6"/>
      <c r="D12" s="7" t="s">
        <v>21</v>
      </c>
    </row>
    <row r="14" customFormat="false" ht="30" hidden="false" customHeight="true" outlineLevel="0" collapsed="false">
      <c r="A14" s="22" t="s">
        <v>22</v>
      </c>
      <c r="B14" s="22" t="s">
        <v>23</v>
      </c>
      <c r="C14" s="22" t="s">
        <v>4</v>
      </c>
      <c r="D14" s="22" t="s">
        <v>24</v>
      </c>
    </row>
    <row r="15" customFormat="false" ht="15" hidden="false" customHeight="false" outlineLevel="0" collapsed="false">
      <c r="A15" s="4" t="s">
        <v>25</v>
      </c>
      <c r="B15" s="6" t="n">
        <f aca="false">COUNTIF('Casos de prueba'!E5:E40,"Positivo")</f>
        <v>9</v>
      </c>
      <c r="C15" s="8" t="n">
        <f aca="false">IFERROR(B15/COUNTA('Casos de prueba'!A5:A40),0)</f>
        <v>0.25</v>
      </c>
      <c r="D15" s="7" t="s">
        <v>26</v>
      </c>
    </row>
    <row r="16" customFormat="false" ht="15" hidden="false" customHeight="false" outlineLevel="0" collapsed="false">
      <c r="A16" s="4" t="s">
        <v>27</v>
      </c>
      <c r="B16" s="6" t="n">
        <f aca="false">COUNTIF('Casos de prueba'!E5:E40,"Negativo")</f>
        <v>14</v>
      </c>
      <c r="C16" s="8" t="n">
        <f aca="false">IFERROR(B16/COUNTA('Casos de prueba'!A5:A40),0)</f>
        <v>0.388888888888889</v>
      </c>
      <c r="D16" s="7" t="s">
        <v>28</v>
      </c>
    </row>
    <row r="17" customFormat="false" ht="15" hidden="false" customHeight="false" outlineLevel="0" collapsed="false">
      <c r="A17" s="4" t="s">
        <v>29</v>
      </c>
      <c r="B17" s="6" t="n">
        <f aca="false">COUNTIF('Casos de prueba'!E5:E40,"Límite")</f>
        <v>8</v>
      </c>
      <c r="C17" s="8" t="n">
        <f aca="false">IFERROR(B17/COUNTA('Casos de prueba'!A5:A40),0)</f>
        <v>0.222222222222222</v>
      </c>
      <c r="D17" s="7" t="s">
        <v>30</v>
      </c>
    </row>
    <row r="18" customFormat="false" ht="15" hidden="false" customHeight="false" outlineLevel="0" collapsed="false">
      <c r="A18" s="4" t="s">
        <v>31</v>
      </c>
      <c r="B18" s="6" t="n">
        <f aca="false">COUNTIF('Casos de prueba'!E5:E40,"Compatibilidad")</f>
        <v>2</v>
      </c>
      <c r="C18" s="8" t="n">
        <f aca="false">IFERROR(B18/COUNTA('Casos de prueba'!A5:A40),0)</f>
        <v>0.0555555555555556</v>
      </c>
      <c r="D18" s="7" t="s">
        <v>32</v>
      </c>
    </row>
    <row r="19" customFormat="false" ht="15" hidden="false" customHeight="false" outlineLevel="0" collapsed="false">
      <c r="A19" s="4" t="s">
        <v>33</v>
      </c>
      <c r="B19" s="6" t="n">
        <f aca="false">COUNTIF('Casos de prueba'!E5:E40,"Interfaz")</f>
        <v>2</v>
      </c>
      <c r="C19" s="8" t="n">
        <f aca="false">IFERROR(B19/COUNTA('Casos de prueba'!A5:A40),0)</f>
        <v>0.0555555555555556</v>
      </c>
      <c r="D19" s="7" t="s">
        <v>34</v>
      </c>
    </row>
    <row r="20" customFormat="false" ht="15" hidden="false" customHeight="false" outlineLevel="0" collapsed="false">
      <c r="A20" s="4" t="s">
        <v>35</v>
      </c>
      <c r="B20" s="6" t="n">
        <f aca="false">COUNTIF('Casos de prueba'!E5:E40,"No funcional")</f>
        <v>1</v>
      </c>
      <c r="C20" s="8" t="n">
        <f aca="false">IFERROR(B20/COUNTA('Casos de prueba'!A5:A40),0)</f>
        <v>0.0277777777777778</v>
      </c>
      <c r="D20" s="7" t="s">
        <v>36</v>
      </c>
    </row>
    <row r="21" customFormat="false" ht="15" hidden="false" customHeight="false" outlineLevel="0" collapsed="false">
      <c r="A21" s="23" t="s">
        <v>37</v>
      </c>
      <c r="B21" s="24" t="n">
        <f aca="false">SUM(B15:B20)</f>
        <v>36</v>
      </c>
      <c r="C21" s="25" t="n">
        <f aca="false">IFERROR(B21/COUNTA('Casos de prueba'!A5:A40),0)</f>
        <v>1</v>
      </c>
      <c r="D21" s="26" t="s">
        <v>38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8" min="8" style="0" width="50"/>
    <col collapsed="false" customWidth="true" hidden="false" outlineLevel="0" max="9" min="9" style="0" width="26"/>
    <col collapsed="false" customWidth="true" hidden="false" outlineLevel="0" max="10" min="10" style="0" width="46"/>
    <col collapsed="false" customWidth="true" hidden="false" outlineLevel="0" max="11" min="11" style="0" width="52"/>
    <col collapsed="false" customWidth="true" hidden="false" outlineLevel="0" max="12" min="12" style="0" width="11"/>
    <col collapsed="false" customWidth="true" hidden="false" outlineLevel="0" max="13" min="13" style="0" width="20"/>
    <col collapsed="false" customWidth="true" hidden="false" outlineLevel="0" max="14" min="14" style="0" width="38"/>
    <col collapsed="false" customWidth="true" hidden="false" outlineLevel="0" max="15" min="15" style="0" width="14"/>
    <col collapsed="false" customWidth="true" hidden="false" outlineLevel="0" max="16" min="16" style="0" width="20"/>
    <col collapsed="false" customWidth="true" hidden="false" outlineLevel="0" max="17" min="17" style="0" width="12"/>
  </cols>
  <sheetData>
    <row r="1" customFormat="false" ht="25.5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8" hidden="false" customHeight="true" outlineLevel="0" collapsed="false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30" hidden="false" customHeight="true" outlineLevel="0" collapsed="false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  <c r="M4" s="3" t="s">
        <v>53</v>
      </c>
      <c r="N4" s="3" t="s">
        <v>54</v>
      </c>
      <c r="O4" s="3" t="s">
        <v>55</v>
      </c>
      <c r="P4" s="3" t="s">
        <v>56</v>
      </c>
      <c r="Q4" s="3" t="s">
        <v>57</v>
      </c>
    </row>
    <row r="5" customFormat="false" ht="61.5" hidden="false" customHeight="true" outlineLevel="0" collapsed="false">
      <c r="A5" s="5" t="s">
        <v>58</v>
      </c>
      <c r="B5" s="7" t="s">
        <v>59</v>
      </c>
      <c r="C5" s="6" t="s">
        <v>60</v>
      </c>
      <c r="D5" s="7" t="s">
        <v>61</v>
      </c>
      <c r="E5" s="6" t="s">
        <v>25</v>
      </c>
      <c r="F5" s="6" t="s">
        <v>62</v>
      </c>
      <c r="G5" s="7" t="s">
        <v>63</v>
      </c>
      <c r="H5" s="7" t="s">
        <v>64</v>
      </c>
      <c r="I5" s="7" t="s">
        <v>65</v>
      </c>
      <c r="J5" s="7" t="s">
        <v>66</v>
      </c>
      <c r="K5" s="7" t="s">
        <v>67</v>
      </c>
      <c r="L5" s="27" t="s">
        <v>10</v>
      </c>
      <c r="M5" s="6" t="s">
        <v>68</v>
      </c>
      <c r="N5" s="7" t="s">
        <v>69</v>
      </c>
      <c r="O5" s="6" t="s">
        <v>70</v>
      </c>
      <c r="P5" s="6" t="s">
        <v>71</v>
      </c>
      <c r="Q5" s="6" t="s">
        <v>72</v>
      </c>
    </row>
    <row r="6" customFormat="false" ht="61.5" hidden="false" customHeight="true" outlineLevel="0" collapsed="false">
      <c r="A6" s="5" t="s">
        <v>73</v>
      </c>
      <c r="B6" s="7" t="s">
        <v>59</v>
      </c>
      <c r="C6" s="6" t="s">
        <v>74</v>
      </c>
      <c r="D6" s="7" t="s">
        <v>75</v>
      </c>
      <c r="E6" s="6" t="s">
        <v>27</v>
      </c>
      <c r="F6" s="6" t="s">
        <v>62</v>
      </c>
      <c r="G6" s="7" t="s">
        <v>76</v>
      </c>
      <c r="H6" s="7" t="s">
        <v>77</v>
      </c>
      <c r="I6" s="7" t="s">
        <v>78</v>
      </c>
      <c r="J6" s="7" t="s">
        <v>79</v>
      </c>
      <c r="K6" s="7" t="s">
        <v>80</v>
      </c>
      <c r="L6" s="27" t="s">
        <v>10</v>
      </c>
      <c r="M6" s="6" t="s">
        <v>68</v>
      </c>
      <c r="N6" s="7" t="s">
        <v>81</v>
      </c>
      <c r="O6" s="6" t="s">
        <v>82</v>
      </c>
      <c r="P6" s="6" t="s">
        <v>71</v>
      </c>
      <c r="Q6" s="6" t="s">
        <v>72</v>
      </c>
    </row>
    <row r="7" customFormat="false" ht="61.5" hidden="false" customHeight="true" outlineLevel="0" collapsed="false">
      <c r="A7" s="5" t="s">
        <v>83</v>
      </c>
      <c r="B7" s="7" t="s">
        <v>59</v>
      </c>
      <c r="C7" s="6" t="s">
        <v>74</v>
      </c>
      <c r="D7" s="7" t="s">
        <v>84</v>
      </c>
      <c r="E7" s="6" t="s">
        <v>27</v>
      </c>
      <c r="F7" s="6" t="s">
        <v>62</v>
      </c>
      <c r="G7" s="7" t="s">
        <v>76</v>
      </c>
      <c r="H7" s="7" t="s">
        <v>85</v>
      </c>
      <c r="I7" s="7" t="s">
        <v>86</v>
      </c>
      <c r="J7" s="7" t="s">
        <v>79</v>
      </c>
      <c r="K7" s="7" t="s">
        <v>87</v>
      </c>
      <c r="L7" s="27" t="s">
        <v>10</v>
      </c>
      <c r="M7" s="6" t="s">
        <v>68</v>
      </c>
      <c r="N7" s="7" t="s">
        <v>88</v>
      </c>
      <c r="O7" s="6" t="s">
        <v>82</v>
      </c>
      <c r="P7" s="6" t="s">
        <v>71</v>
      </c>
      <c r="Q7" s="6" t="s">
        <v>72</v>
      </c>
    </row>
    <row r="8" customFormat="false" ht="61.5" hidden="false" customHeight="true" outlineLevel="0" collapsed="false">
      <c r="A8" s="5" t="s">
        <v>89</v>
      </c>
      <c r="B8" s="7" t="s">
        <v>59</v>
      </c>
      <c r="C8" s="6" t="s">
        <v>74</v>
      </c>
      <c r="D8" s="7" t="s">
        <v>90</v>
      </c>
      <c r="E8" s="6" t="s">
        <v>25</v>
      </c>
      <c r="F8" s="6" t="s">
        <v>62</v>
      </c>
      <c r="G8" s="7" t="s">
        <v>76</v>
      </c>
      <c r="H8" s="7" t="s">
        <v>91</v>
      </c>
      <c r="I8" s="7" t="s">
        <v>92</v>
      </c>
      <c r="J8" s="7" t="s">
        <v>93</v>
      </c>
      <c r="K8" s="7" t="s">
        <v>94</v>
      </c>
      <c r="L8" s="27" t="s">
        <v>10</v>
      </c>
      <c r="M8" s="6" t="s">
        <v>68</v>
      </c>
      <c r="N8" s="7" t="s">
        <v>95</v>
      </c>
      <c r="O8" s="6" t="s">
        <v>82</v>
      </c>
      <c r="P8" s="6" t="s">
        <v>71</v>
      </c>
      <c r="Q8" s="6" t="s">
        <v>72</v>
      </c>
    </row>
    <row r="9" customFormat="false" ht="61.5" hidden="false" customHeight="true" outlineLevel="0" collapsed="false">
      <c r="A9" s="5" t="s">
        <v>96</v>
      </c>
      <c r="B9" s="7" t="s">
        <v>59</v>
      </c>
      <c r="C9" s="6" t="s">
        <v>97</v>
      </c>
      <c r="D9" s="7" t="s">
        <v>98</v>
      </c>
      <c r="E9" s="6" t="s">
        <v>27</v>
      </c>
      <c r="F9" s="6" t="s">
        <v>62</v>
      </c>
      <c r="G9" s="7" t="s">
        <v>99</v>
      </c>
      <c r="H9" s="7" t="s">
        <v>100</v>
      </c>
      <c r="I9" s="7" t="s">
        <v>101</v>
      </c>
      <c r="J9" s="7" t="s">
        <v>102</v>
      </c>
      <c r="K9" s="7" t="s">
        <v>103</v>
      </c>
      <c r="L9" s="28" t="s">
        <v>12</v>
      </c>
      <c r="M9" s="6" t="s">
        <v>68</v>
      </c>
      <c r="N9" s="7" t="s">
        <v>104</v>
      </c>
      <c r="O9" s="6" t="s">
        <v>105</v>
      </c>
      <c r="P9" s="6" t="s">
        <v>71</v>
      </c>
      <c r="Q9" s="6" t="s">
        <v>72</v>
      </c>
    </row>
    <row r="10" customFormat="false" ht="61.5" hidden="false" customHeight="true" outlineLevel="0" collapsed="false">
      <c r="A10" s="5" t="s">
        <v>106</v>
      </c>
      <c r="B10" s="7" t="s">
        <v>59</v>
      </c>
      <c r="C10" s="6" t="s">
        <v>74</v>
      </c>
      <c r="D10" s="7" t="s">
        <v>107</v>
      </c>
      <c r="E10" s="6" t="s">
        <v>27</v>
      </c>
      <c r="F10" s="6" t="s">
        <v>62</v>
      </c>
      <c r="G10" s="7" t="s">
        <v>76</v>
      </c>
      <c r="H10" s="7" t="s">
        <v>108</v>
      </c>
      <c r="I10" s="7" t="s">
        <v>109</v>
      </c>
      <c r="J10" s="7" t="s">
        <v>110</v>
      </c>
      <c r="K10" s="7" t="s">
        <v>87</v>
      </c>
      <c r="L10" s="27" t="s">
        <v>10</v>
      </c>
      <c r="M10" s="6" t="s">
        <v>68</v>
      </c>
      <c r="N10" s="7" t="s">
        <v>111</v>
      </c>
      <c r="O10" s="6" t="s">
        <v>82</v>
      </c>
      <c r="P10" s="6" t="s">
        <v>71</v>
      </c>
      <c r="Q10" s="6" t="s">
        <v>72</v>
      </c>
    </row>
    <row r="11" customFormat="false" ht="61.5" hidden="false" customHeight="true" outlineLevel="0" collapsed="false">
      <c r="A11" s="5" t="s">
        <v>112</v>
      </c>
      <c r="B11" s="7" t="s">
        <v>113</v>
      </c>
      <c r="C11" s="6" t="s">
        <v>114</v>
      </c>
      <c r="D11" s="7" t="s">
        <v>115</v>
      </c>
      <c r="E11" s="6" t="s">
        <v>29</v>
      </c>
      <c r="F11" s="6" t="s">
        <v>62</v>
      </c>
      <c r="G11" s="7" t="s">
        <v>76</v>
      </c>
      <c r="H11" s="7" t="s">
        <v>116</v>
      </c>
      <c r="I11" s="7" t="s">
        <v>117</v>
      </c>
      <c r="J11" s="7" t="s">
        <v>118</v>
      </c>
      <c r="K11" s="7" t="s">
        <v>87</v>
      </c>
      <c r="L11" s="27" t="s">
        <v>10</v>
      </c>
      <c r="M11" s="6" t="s">
        <v>68</v>
      </c>
      <c r="N11" s="7" t="s">
        <v>119</v>
      </c>
      <c r="O11" s="6" t="s">
        <v>82</v>
      </c>
      <c r="P11" s="6" t="s">
        <v>71</v>
      </c>
      <c r="Q11" s="6" t="s">
        <v>72</v>
      </c>
    </row>
    <row r="12" customFormat="false" ht="61.5" hidden="false" customHeight="true" outlineLevel="0" collapsed="false">
      <c r="A12" s="5" t="s">
        <v>120</v>
      </c>
      <c r="B12" s="7" t="s">
        <v>113</v>
      </c>
      <c r="C12" s="6" t="s">
        <v>114</v>
      </c>
      <c r="D12" s="7" t="s">
        <v>121</v>
      </c>
      <c r="E12" s="6" t="s">
        <v>27</v>
      </c>
      <c r="F12" s="6" t="s">
        <v>62</v>
      </c>
      <c r="G12" s="7" t="s">
        <v>76</v>
      </c>
      <c r="H12" s="7" t="s">
        <v>122</v>
      </c>
      <c r="I12" s="7" t="s">
        <v>123</v>
      </c>
      <c r="J12" s="7" t="s">
        <v>124</v>
      </c>
      <c r="K12" s="7" t="s">
        <v>87</v>
      </c>
      <c r="L12" s="27" t="s">
        <v>10</v>
      </c>
      <c r="M12" s="6" t="s">
        <v>68</v>
      </c>
      <c r="N12" s="7" t="s">
        <v>125</v>
      </c>
      <c r="O12" s="6" t="s">
        <v>82</v>
      </c>
      <c r="P12" s="6" t="s">
        <v>71</v>
      </c>
      <c r="Q12" s="6" t="s">
        <v>72</v>
      </c>
    </row>
    <row r="13" customFormat="false" ht="61.5" hidden="false" customHeight="true" outlineLevel="0" collapsed="false">
      <c r="A13" s="5" t="s">
        <v>126</v>
      </c>
      <c r="B13" s="7" t="s">
        <v>113</v>
      </c>
      <c r="C13" s="6" t="s">
        <v>114</v>
      </c>
      <c r="D13" s="7" t="s">
        <v>127</v>
      </c>
      <c r="E13" s="6" t="s">
        <v>27</v>
      </c>
      <c r="F13" s="6" t="s">
        <v>62</v>
      </c>
      <c r="G13" s="7" t="s">
        <v>76</v>
      </c>
      <c r="H13" s="7" t="s">
        <v>128</v>
      </c>
      <c r="I13" s="7" t="s">
        <v>129</v>
      </c>
      <c r="J13" s="7" t="s">
        <v>130</v>
      </c>
      <c r="K13" s="7" t="s">
        <v>87</v>
      </c>
      <c r="L13" s="27" t="s">
        <v>10</v>
      </c>
      <c r="M13" s="6" t="s">
        <v>68</v>
      </c>
      <c r="N13" s="7" t="s">
        <v>131</v>
      </c>
      <c r="O13" s="6" t="s">
        <v>82</v>
      </c>
      <c r="P13" s="6" t="s">
        <v>71</v>
      </c>
      <c r="Q13" s="6" t="s">
        <v>72</v>
      </c>
    </row>
    <row r="14" customFormat="false" ht="61.5" hidden="false" customHeight="true" outlineLevel="0" collapsed="false">
      <c r="A14" s="5" t="s">
        <v>132</v>
      </c>
      <c r="B14" s="7" t="s">
        <v>113</v>
      </c>
      <c r="C14" s="6" t="s">
        <v>133</v>
      </c>
      <c r="D14" s="7" t="s">
        <v>134</v>
      </c>
      <c r="E14" s="6" t="s">
        <v>29</v>
      </c>
      <c r="F14" s="6" t="s">
        <v>62</v>
      </c>
      <c r="G14" s="7" t="s">
        <v>135</v>
      </c>
      <c r="H14" s="7" t="s">
        <v>136</v>
      </c>
      <c r="I14" s="7" t="s">
        <v>137</v>
      </c>
      <c r="J14" s="7" t="s">
        <v>138</v>
      </c>
      <c r="K14" s="7" t="s">
        <v>139</v>
      </c>
      <c r="L14" s="28" t="s">
        <v>12</v>
      </c>
      <c r="M14" s="6" t="s">
        <v>68</v>
      </c>
      <c r="N14" s="7" t="s">
        <v>140</v>
      </c>
      <c r="O14" s="6" t="s">
        <v>141</v>
      </c>
      <c r="P14" s="6" t="s">
        <v>71</v>
      </c>
      <c r="Q14" s="6" t="s">
        <v>72</v>
      </c>
    </row>
    <row r="15" customFormat="false" ht="61.5" hidden="false" customHeight="true" outlineLevel="0" collapsed="false">
      <c r="A15" s="5" t="s">
        <v>142</v>
      </c>
      <c r="B15" s="7" t="s">
        <v>113</v>
      </c>
      <c r="C15" s="6" t="s">
        <v>143</v>
      </c>
      <c r="D15" s="7" t="s">
        <v>144</v>
      </c>
      <c r="E15" s="6" t="s">
        <v>27</v>
      </c>
      <c r="F15" s="6" t="s">
        <v>62</v>
      </c>
      <c r="G15" s="7" t="s">
        <v>76</v>
      </c>
      <c r="H15" s="7" t="s">
        <v>145</v>
      </c>
      <c r="I15" s="7" t="s">
        <v>146</v>
      </c>
      <c r="J15" s="7" t="s">
        <v>147</v>
      </c>
      <c r="K15" s="7" t="s">
        <v>87</v>
      </c>
      <c r="L15" s="27" t="s">
        <v>10</v>
      </c>
      <c r="M15" s="6" t="s">
        <v>68</v>
      </c>
      <c r="N15" s="7" t="s">
        <v>148</v>
      </c>
      <c r="O15" s="6" t="s">
        <v>82</v>
      </c>
      <c r="P15" s="6" t="s">
        <v>71</v>
      </c>
      <c r="Q15" s="6" t="s">
        <v>72</v>
      </c>
    </row>
    <row r="16" customFormat="false" ht="61.5" hidden="false" customHeight="true" outlineLevel="0" collapsed="false">
      <c r="A16" s="5" t="s">
        <v>149</v>
      </c>
      <c r="B16" s="7" t="s">
        <v>113</v>
      </c>
      <c r="C16" s="6" t="s">
        <v>114</v>
      </c>
      <c r="D16" s="7" t="s">
        <v>150</v>
      </c>
      <c r="E16" s="6" t="s">
        <v>27</v>
      </c>
      <c r="F16" s="6" t="s">
        <v>62</v>
      </c>
      <c r="G16" s="7" t="s">
        <v>76</v>
      </c>
      <c r="H16" s="7" t="s">
        <v>151</v>
      </c>
      <c r="I16" s="7" t="s">
        <v>109</v>
      </c>
      <c r="J16" s="7" t="s">
        <v>152</v>
      </c>
      <c r="K16" s="7" t="s">
        <v>87</v>
      </c>
      <c r="L16" s="27" t="s">
        <v>10</v>
      </c>
      <c r="M16" s="6" t="s">
        <v>68</v>
      </c>
      <c r="N16" s="7" t="s">
        <v>153</v>
      </c>
      <c r="O16" s="6" t="s">
        <v>82</v>
      </c>
      <c r="P16" s="6" t="s">
        <v>71</v>
      </c>
      <c r="Q16" s="6" t="s">
        <v>72</v>
      </c>
    </row>
    <row r="17" customFormat="false" ht="61.5" hidden="false" customHeight="true" outlineLevel="0" collapsed="false">
      <c r="A17" s="5" t="s">
        <v>154</v>
      </c>
      <c r="B17" s="7" t="s">
        <v>155</v>
      </c>
      <c r="C17" s="6" t="s">
        <v>156</v>
      </c>
      <c r="D17" s="7" t="s">
        <v>157</v>
      </c>
      <c r="E17" s="6" t="s">
        <v>27</v>
      </c>
      <c r="F17" s="6" t="s">
        <v>62</v>
      </c>
      <c r="G17" s="7" t="s">
        <v>76</v>
      </c>
      <c r="H17" s="7" t="s">
        <v>158</v>
      </c>
      <c r="I17" s="7" t="s">
        <v>159</v>
      </c>
      <c r="J17" s="7" t="s">
        <v>160</v>
      </c>
      <c r="K17" s="7" t="s">
        <v>161</v>
      </c>
      <c r="L17" s="27" t="s">
        <v>10</v>
      </c>
      <c r="M17" s="6" t="s">
        <v>68</v>
      </c>
      <c r="N17" s="7" t="s">
        <v>162</v>
      </c>
      <c r="O17" s="6" t="s">
        <v>82</v>
      </c>
      <c r="P17" s="6" t="s">
        <v>71</v>
      </c>
      <c r="Q17" s="6" t="s">
        <v>72</v>
      </c>
    </row>
    <row r="18" customFormat="false" ht="61.5" hidden="false" customHeight="true" outlineLevel="0" collapsed="false">
      <c r="A18" s="5" t="s">
        <v>163</v>
      </c>
      <c r="B18" s="7" t="s">
        <v>155</v>
      </c>
      <c r="C18" s="6" t="s">
        <v>156</v>
      </c>
      <c r="D18" s="7" t="s">
        <v>164</v>
      </c>
      <c r="E18" s="6" t="s">
        <v>25</v>
      </c>
      <c r="F18" s="6" t="s">
        <v>62</v>
      </c>
      <c r="G18" s="7" t="s">
        <v>76</v>
      </c>
      <c r="H18" s="7" t="s">
        <v>165</v>
      </c>
      <c r="I18" s="7" t="s">
        <v>166</v>
      </c>
      <c r="J18" s="7" t="s">
        <v>167</v>
      </c>
      <c r="K18" s="7" t="s">
        <v>168</v>
      </c>
      <c r="L18" s="27" t="s">
        <v>10</v>
      </c>
      <c r="M18" s="6" t="s">
        <v>68</v>
      </c>
      <c r="N18" s="7" t="s">
        <v>169</v>
      </c>
      <c r="O18" s="6" t="s">
        <v>82</v>
      </c>
      <c r="P18" s="6" t="s">
        <v>71</v>
      </c>
      <c r="Q18" s="6" t="s">
        <v>72</v>
      </c>
    </row>
    <row r="19" customFormat="false" ht="61.5" hidden="false" customHeight="true" outlineLevel="0" collapsed="false">
      <c r="A19" s="5" t="s">
        <v>170</v>
      </c>
      <c r="B19" s="7" t="s">
        <v>155</v>
      </c>
      <c r="C19" s="6" t="s">
        <v>171</v>
      </c>
      <c r="D19" s="7" t="s">
        <v>172</v>
      </c>
      <c r="E19" s="6" t="s">
        <v>25</v>
      </c>
      <c r="F19" s="6" t="s">
        <v>62</v>
      </c>
      <c r="G19" s="7" t="s">
        <v>173</v>
      </c>
      <c r="H19" s="7" t="s">
        <v>174</v>
      </c>
      <c r="I19" s="7" t="s">
        <v>175</v>
      </c>
      <c r="J19" s="7" t="s">
        <v>172</v>
      </c>
      <c r="K19" s="7" t="s">
        <v>176</v>
      </c>
      <c r="L19" s="28" t="s">
        <v>12</v>
      </c>
      <c r="M19" s="6" t="s">
        <v>68</v>
      </c>
      <c r="N19" s="7" t="s">
        <v>177</v>
      </c>
      <c r="O19" s="6" t="s">
        <v>178</v>
      </c>
      <c r="P19" s="6" t="s">
        <v>71</v>
      </c>
      <c r="Q19" s="6" t="s">
        <v>72</v>
      </c>
    </row>
    <row r="20" customFormat="false" ht="61.5" hidden="false" customHeight="true" outlineLevel="0" collapsed="false">
      <c r="A20" s="5" t="s">
        <v>179</v>
      </c>
      <c r="B20" s="7" t="s">
        <v>155</v>
      </c>
      <c r="C20" s="6" t="s">
        <v>171</v>
      </c>
      <c r="D20" s="7" t="s">
        <v>180</v>
      </c>
      <c r="E20" s="6" t="s">
        <v>25</v>
      </c>
      <c r="F20" s="6" t="s">
        <v>181</v>
      </c>
      <c r="G20" s="7" t="s">
        <v>182</v>
      </c>
      <c r="H20" s="7" t="s">
        <v>183</v>
      </c>
      <c r="I20" s="7" t="s">
        <v>175</v>
      </c>
      <c r="J20" s="7" t="s">
        <v>184</v>
      </c>
      <c r="K20" s="7" t="s">
        <v>185</v>
      </c>
      <c r="L20" s="29" t="s">
        <v>14</v>
      </c>
      <c r="M20" s="6" t="s">
        <v>68</v>
      </c>
      <c r="N20" s="7" t="s">
        <v>186</v>
      </c>
      <c r="O20" s="6" t="s">
        <v>187</v>
      </c>
      <c r="P20" s="6" t="s">
        <v>71</v>
      </c>
      <c r="Q20" s="6" t="s">
        <v>72</v>
      </c>
    </row>
    <row r="21" customFormat="false" ht="61.5" hidden="false" customHeight="true" outlineLevel="0" collapsed="false">
      <c r="A21" s="5" t="s">
        <v>188</v>
      </c>
      <c r="B21" s="7" t="s">
        <v>189</v>
      </c>
      <c r="C21" s="6" t="s">
        <v>190</v>
      </c>
      <c r="D21" s="7" t="s">
        <v>191</v>
      </c>
      <c r="E21" s="6" t="s">
        <v>25</v>
      </c>
      <c r="F21" s="6" t="s">
        <v>62</v>
      </c>
      <c r="G21" s="7" t="s">
        <v>192</v>
      </c>
      <c r="H21" s="7" t="s">
        <v>193</v>
      </c>
      <c r="I21" s="7" t="s">
        <v>194</v>
      </c>
      <c r="J21" s="7" t="s">
        <v>195</v>
      </c>
      <c r="K21" s="7" t="s">
        <v>196</v>
      </c>
      <c r="L21" s="27" t="s">
        <v>10</v>
      </c>
      <c r="M21" s="6" t="s">
        <v>68</v>
      </c>
      <c r="N21" s="7" t="s">
        <v>197</v>
      </c>
      <c r="O21" s="6" t="s">
        <v>82</v>
      </c>
      <c r="P21" s="6" t="s">
        <v>71</v>
      </c>
      <c r="Q21" s="6" t="s">
        <v>72</v>
      </c>
    </row>
    <row r="22" customFormat="false" ht="61.5" hidden="false" customHeight="true" outlineLevel="0" collapsed="false">
      <c r="A22" s="5" t="s">
        <v>198</v>
      </c>
      <c r="B22" s="7" t="s">
        <v>189</v>
      </c>
      <c r="C22" s="6" t="s">
        <v>190</v>
      </c>
      <c r="D22" s="7" t="s">
        <v>199</v>
      </c>
      <c r="E22" s="6" t="s">
        <v>27</v>
      </c>
      <c r="F22" s="6" t="s">
        <v>181</v>
      </c>
      <c r="G22" s="7" t="s">
        <v>192</v>
      </c>
      <c r="H22" s="7" t="s">
        <v>200</v>
      </c>
      <c r="I22" s="7" t="s">
        <v>109</v>
      </c>
      <c r="J22" s="7" t="s">
        <v>201</v>
      </c>
      <c r="K22" s="7" t="s">
        <v>87</v>
      </c>
      <c r="L22" s="27" t="s">
        <v>10</v>
      </c>
      <c r="M22" s="6" t="s">
        <v>68</v>
      </c>
      <c r="N22" s="7" t="s">
        <v>202</v>
      </c>
      <c r="O22" s="6" t="s">
        <v>82</v>
      </c>
      <c r="P22" s="6" t="s">
        <v>71</v>
      </c>
      <c r="Q22" s="6" t="s">
        <v>72</v>
      </c>
    </row>
    <row r="23" customFormat="false" ht="61.5" hidden="false" customHeight="true" outlineLevel="0" collapsed="false">
      <c r="A23" s="5" t="s">
        <v>203</v>
      </c>
      <c r="B23" s="7" t="s">
        <v>189</v>
      </c>
      <c r="C23" s="6" t="s">
        <v>190</v>
      </c>
      <c r="D23" s="7" t="s">
        <v>204</v>
      </c>
      <c r="E23" s="6" t="s">
        <v>29</v>
      </c>
      <c r="F23" s="6" t="s">
        <v>181</v>
      </c>
      <c r="G23" s="7" t="s">
        <v>192</v>
      </c>
      <c r="H23" s="7" t="s">
        <v>205</v>
      </c>
      <c r="I23" s="7" t="s">
        <v>206</v>
      </c>
      <c r="J23" s="7" t="s">
        <v>207</v>
      </c>
      <c r="K23" s="7" t="s">
        <v>87</v>
      </c>
      <c r="L23" s="27" t="s">
        <v>10</v>
      </c>
      <c r="M23" s="6" t="s">
        <v>68</v>
      </c>
      <c r="N23" s="7" t="s">
        <v>208</v>
      </c>
      <c r="O23" s="6" t="s">
        <v>82</v>
      </c>
      <c r="P23" s="6" t="s">
        <v>71</v>
      </c>
      <c r="Q23" s="6" t="s">
        <v>209</v>
      </c>
    </row>
    <row r="24" customFormat="false" ht="61.5" hidden="false" customHeight="true" outlineLevel="0" collapsed="false">
      <c r="A24" s="5" t="s">
        <v>210</v>
      </c>
      <c r="B24" s="7" t="s">
        <v>189</v>
      </c>
      <c r="C24" s="6" t="s">
        <v>190</v>
      </c>
      <c r="D24" s="7" t="s">
        <v>211</v>
      </c>
      <c r="E24" s="6" t="s">
        <v>29</v>
      </c>
      <c r="F24" s="6" t="s">
        <v>181</v>
      </c>
      <c r="G24" s="7" t="s">
        <v>192</v>
      </c>
      <c r="H24" s="7" t="s">
        <v>212</v>
      </c>
      <c r="I24" s="7" t="s">
        <v>213</v>
      </c>
      <c r="J24" s="7" t="s">
        <v>214</v>
      </c>
      <c r="K24" s="7" t="s">
        <v>215</v>
      </c>
      <c r="L24" s="27" t="s">
        <v>10</v>
      </c>
      <c r="M24" s="6" t="s">
        <v>68</v>
      </c>
      <c r="N24" s="7" t="s">
        <v>216</v>
      </c>
      <c r="O24" s="6" t="s">
        <v>82</v>
      </c>
      <c r="P24" s="6" t="s">
        <v>71</v>
      </c>
      <c r="Q24" s="6" t="s">
        <v>209</v>
      </c>
    </row>
    <row r="25" customFormat="false" ht="61.5" hidden="false" customHeight="true" outlineLevel="0" collapsed="false">
      <c r="A25" s="5" t="s">
        <v>217</v>
      </c>
      <c r="B25" s="7" t="s">
        <v>189</v>
      </c>
      <c r="C25" s="6" t="s">
        <v>190</v>
      </c>
      <c r="D25" s="7" t="s">
        <v>218</v>
      </c>
      <c r="E25" s="6" t="s">
        <v>27</v>
      </c>
      <c r="F25" s="6" t="s">
        <v>181</v>
      </c>
      <c r="G25" s="7" t="s">
        <v>192</v>
      </c>
      <c r="H25" s="7" t="s">
        <v>219</v>
      </c>
      <c r="I25" s="7" t="s">
        <v>220</v>
      </c>
      <c r="J25" s="7" t="s">
        <v>221</v>
      </c>
      <c r="K25" s="7" t="s">
        <v>222</v>
      </c>
      <c r="L25" s="28" t="s">
        <v>12</v>
      </c>
      <c r="M25" s="6" t="s">
        <v>68</v>
      </c>
      <c r="N25" s="7" t="s">
        <v>223</v>
      </c>
      <c r="O25" s="6" t="s">
        <v>224</v>
      </c>
      <c r="P25" s="6" t="s">
        <v>71</v>
      </c>
      <c r="Q25" s="6" t="s">
        <v>209</v>
      </c>
    </row>
    <row r="26" customFormat="false" ht="61.5" hidden="false" customHeight="true" outlineLevel="0" collapsed="false">
      <c r="A26" s="5" t="s">
        <v>225</v>
      </c>
      <c r="B26" s="7" t="s">
        <v>226</v>
      </c>
      <c r="C26" s="6" t="s">
        <v>227</v>
      </c>
      <c r="D26" s="7" t="s">
        <v>228</v>
      </c>
      <c r="E26" s="6" t="s">
        <v>25</v>
      </c>
      <c r="F26" s="6" t="s">
        <v>62</v>
      </c>
      <c r="G26" s="7" t="s">
        <v>229</v>
      </c>
      <c r="H26" s="7" t="s">
        <v>230</v>
      </c>
      <c r="I26" s="7" t="s">
        <v>231</v>
      </c>
      <c r="J26" s="7" t="s">
        <v>232</v>
      </c>
      <c r="K26" s="7" t="s">
        <v>233</v>
      </c>
      <c r="L26" s="27" t="s">
        <v>10</v>
      </c>
      <c r="M26" s="6" t="s">
        <v>68</v>
      </c>
      <c r="N26" s="7" t="s">
        <v>234</v>
      </c>
      <c r="O26" s="6" t="s">
        <v>82</v>
      </c>
      <c r="P26" s="6" t="s">
        <v>71</v>
      </c>
      <c r="Q26" s="6" t="s">
        <v>209</v>
      </c>
    </row>
    <row r="27" customFormat="false" ht="61.5" hidden="false" customHeight="true" outlineLevel="0" collapsed="false">
      <c r="A27" s="5" t="s">
        <v>235</v>
      </c>
      <c r="B27" s="7" t="s">
        <v>226</v>
      </c>
      <c r="C27" s="6" t="s">
        <v>227</v>
      </c>
      <c r="D27" s="7" t="s">
        <v>236</v>
      </c>
      <c r="E27" s="6" t="s">
        <v>27</v>
      </c>
      <c r="F27" s="6" t="s">
        <v>62</v>
      </c>
      <c r="G27" s="7" t="s">
        <v>229</v>
      </c>
      <c r="H27" s="7" t="s">
        <v>237</v>
      </c>
      <c r="I27" s="7" t="s">
        <v>238</v>
      </c>
      <c r="J27" s="7" t="s">
        <v>239</v>
      </c>
      <c r="K27" s="7" t="s">
        <v>87</v>
      </c>
      <c r="L27" s="27" t="s">
        <v>10</v>
      </c>
      <c r="M27" s="6" t="s">
        <v>68</v>
      </c>
      <c r="N27" s="7" t="s">
        <v>240</v>
      </c>
      <c r="O27" s="6" t="s">
        <v>82</v>
      </c>
      <c r="P27" s="6" t="s">
        <v>71</v>
      </c>
      <c r="Q27" s="6" t="s">
        <v>209</v>
      </c>
    </row>
    <row r="28" customFormat="false" ht="61.5" hidden="false" customHeight="true" outlineLevel="0" collapsed="false">
      <c r="A28" s="5" t="s">
        <v>241</v>
      </c>
      <c r="B28" s="7" t="s">
        <v>226</v>
      </c>
      <c r="C28" s="6" t="s">
        <v>242</v>
      </c>
      <c r="D28" s="7" t="s">
        <v>243</v>
      </c>
      <c r="E28" s="6" t="s">
        <v>27</v>
      </c>
      <c r="F28" s="6" t="s">
        <v>62</v>
      </c>
      <c r="G28" s="7" t="s">
        <v>229</v>
      </c>
      <c r="H28" s="7" t="s">
        <v>244</v>
      </c>
      <c r="I28" s="7" t="s">
        <v>245</v>
      </c>
      <c r="J28" s="7" t="s">
        <v>246</v>
      </c>
      <c r="K28" s="7" t="s">
        <v>87</v>
      </c>
      <c r="L28" s="27" t="s">
        <v>10</v>
      </c>
      <c r="M28" s="6" t="s">
        <v>68</v>
      </c>
      <c r="N28" s="7" t="s">
        <v>247</v>
      </c>
      <c r="O28" s="6" t="s">
        <v>82</v>
      </c>
      <c r="P28" s="6" t="s">
        <v>71</v>
      </c>
      <c r="Q28" s="6" t="s">
        <v>209</v>
      </c>
    </row>
    <row r="29" customFormat="false" ht="61.5" hidden="false" customHeight="true" outlineLevel="0" collapsed="false">
      <c r="A29" s="5" t="s">
        <v>248</v>
      </c>
      <c r="B29" s="7" t="s">
        <v>249</v>
      </c>
      <c r="C29" s="6" t="s">
        <v>250</v>
      </c>
      <c r="D29" s="7" t="s">
        <v>251</v>
      </c>
      <c r="E29" s="6" t="s">
        <v>25</v>
      </c>
      <c r="F29" s="6" t="s">
        <v>181</v>
      </c>
      <c r="G29" s="7" t="s">
        <v>192</v>
      </c>
      <c r="H29" s="7" t="s">
        <v>252</v>
      </c>
      <c r="I29" s="7" t="s">
        <v>253</v>
      </c>
      <c r="J29" s="7" t="s">
        <v>254</v>
      </c>
      <c r="K29" s="7" t="s">
        <v>255</v>
      </c>
      <c r="L29" s="28" t="s">
        <v>12</v>
      </c>
      <c r="M29" s="6" t="s">
        <v>68</v>
      </c>
      <c r="N29" s="7" t="s">
        <v>256</v>
      </c>
      <c r="O29" s="6" t="s">
        <v>257</v>
      </c>
      <c r="P29" s="6" t="s">
        <v>71</v>
      </c>
      <c r="Q29" s="6" t="s">
        <v>209</v>
      </c>
    </row>
    <row r="30" customFormat="false" ht="61.5" hidden="false" customHeight="true" outlineLevel="0" collapsed="false">
      <c r="A30" s="5" t="s">
        <v>258</v>
      </c>
      <c r="B30" s="7" t="s">
        <v>249</v>
      </c>
      <c r="C30" s="6" t="s">
        <v>250</v>
      </c>
      <c r="D30" s="7" t="s">
        <v>259</v>
      </c>
      <c r="E30" s="6" t="s">
        <v>29</v>
      </c>
      <c r="F30" s="6" t="s">
        <v>181</v>
      </c>
      <c r="G30" s="7" t="s">
        <v>192</v>
      </c>
      <c r="H30" s="7" t="s">
        <v>260</v>
      </c>
      <c r="I30" s="7" t="s">
        <v>261</v>
      </c>
      <c r="J30" s="7" t="s">
        <v>262</v>
      </c>
      <c r="K30" s="7" t="s">
        <v>87</v>
      </c>
      <c r="L30" s="27" t="s">
        <v>10</v>
      </c>
      <c r="M30" s="6" t="s">
        <v>68</v>
      </c>
      <c r="N30" s="7" t="s">
        <v>263</v>
      </c>
      <c r="O30" s="6" t="s">
        <v>82</v>
      </c>
      <c r="P30" s="6" t="s">
        <v>71</v>
      </c>
      <c r="Q30" s="6" t="s">
        <v>209</v>
      </c>
    </row>
    <row r="31" customFormat="false" ht="61.5" hidden="false" customHeight="true" outlineLevel="0" collapsed="false">
      <c r="A31" s="5" t="s">
        <v>264</v>
      </c>
      <c r="B31" s="7" t="s">
        <v>249</v>
      </c>
      <c r="C31" s="6" t="s">
        <v>250</v>
      </c>
      <c r="D31" s="7" t="s">
        <v>265</v>
      </c>
      <c r="E31" s="6" t="s">
        <v>27</v>
      </c>
      <c r="F31" s="6" t="s">
        <v>181</v>
      </c>
      <c r="G31" s="7" t="s">
        <v>192</v>
      </c>
      <c r="H31" s="7" t="s">
        <v>266</v>
      </c>
      <c r="I31" s="7" t="s">
        <v>267</v>
      </c>
      <c r="J31" s="7" t="s">
        <v>268</v>
      </c>
      <c r="K31" s="7" t="s">
        <v>87</v>
      </c>
      <c r="L31" s="27" t="s">
        <v>10</v>
      </c>
      <c r="M31" s="6" t="s">
        <v>68</v>
      </c>
      <c r="N31" s="7" t="s">
        <v>269</v>
      </c>
      <c r="O31" s="6" t="s">
        <v>82</v>
      </c>
      <c r="P31" s="6" t="s">
        <v>71</v>
      </c>
      <c r="Q31" s="6" t="s">
        <v>209</v>
      </c>
    </row>
    <row r="32" customFormat="false" ht="61.5" hidden="false" customHeight="true" outlineLevel="0" collapsed="false">
      <c r="A32" s="5" t="s">
        <v>270</v>
      </c>
      <c r="B32" s="7" t="s">
        <v>249</v>
      </c>
      <c r="C32" s="6" t="s">
        <v>250</v>
      </c>
      <c r="D32" s="7" t="s">
        <v>271</v>
      </c>
      <c r="E32" s="6" t="s">
        <v>29</v>
      </c>
      <c r="F32" s="6" t="s">
        <v>181</v>
      </c>
      <c r="G32" s="7" t="s">
        <v>192</v>
      </c>
      <c r="H32" s="7" t="s">
        <v>272</v>
      </c>
      <c r="I32" s="7" t="s">
        <v>273</v>
      </c>
      <c r="J32" s="7" t="s">
        <v>274</v>
      </c>
      <c r="K32" s="7" t="s">
        <v>275</v>
      </c>
      <c r="L32" s="27" t="s">
        <v>10</v>
      </c>
      <c r="M32" s="6" t="s">
        <v>68</v>
      </c>
      <c r="N32" s="7" t="s">
        <v>276</v>
      </c>
      <c r="O32" s="6" t="s">
        <v>82</v>
      </c>
      <c r="P32" s="6" t="s">
        <v>71</v>
      </c>
      <c r="Q32" s="6" t="s">
        <v>209</v>
      </c>
    </row>
    <row r="33" customFormat="false" ht="61.5" hidden="false" customHeight="true" outlineLevel="0" collapsed="false">
      <c r="A33" s="5" t="s">
        <v>277</v>
      </c>
      <c r="B33" s="7" t="s">
        <v>278</v>
      </c>
      <c r="C33" s="6" t="s">
        <v>279</v>
      </c>
      <c r="D33" s="7" t="s">
        <v>280</v>
      </c>
      <c r="E33" s="6" t="s">
        <v>31</v>
      </c>
      <c r="F33" s="6" t="s">
        <v>62</v>
      </c>
      <c r="G33" s="7" t="s">
        <v>281</v>
      </c>
      <c r="H33" s="7" t="s">
        <v>282</v>
      </c>
      <c r="I33" s="7" t="s">
        <v>283</v>
      </c>
      <c r="J33" s="7" t="s">
        <v>284</v>
      </c>
      <c r="K33" s="7" t="s">
        <v>285</v>
      </c>
      <c r="L33" s="28" t="s">
        <v>12</v>
      </c>
      <c r="M33" s="6" t="s">
        <v>286</v>
      </c>
      <c r="N33" s="7" t="s">
        <v>287</v>
      </c>
      <c r="O33" s="6" t="s">
        <v>288</v>
      </c>
      <c r="P33" s="6" t="s">
        <v>71</v>
      </c>
      <c r="Q33" s="6" t="s">
        <v>209</v>
      </c>
    </row>
    <row r="34" customFormat="false" ht="61.5" hidden="false" customHeight="true" outlineLevel="0" collapsed="false">
      <c r="A34" s="5" t="s">
        <v>289</v>
      </c>
      <c r="B34" s="7" t="s">
        <v>278</v>
      </c>
      <c r="C34" s="6" t="s">
        <v>279</v>
      </c>
      <c r="D34" s="7" t="s">
        <v>290</v>
      </c>
      <c r="E34" s="6" t="s">
        <v>31</v>
      </c>
      <c r="F34" s="6" t="s">
        <v>62</v>
      </c>
      <c r="G34" s="7" t="s">
        <v>291</v>
      </c>
      <c r="H34" s="7" t="s">
        <v>292</v>
      </c>
      <c r="I34" s="7" t="s">
        <v>293</v>
      </c>
      <c r="J34" s="7" t="s">
        <v>294</v>
      </c>
      <c r="K34" s="7" t="s">
        <v>295</v>
      </c>
      <c r="L34" s="29" t="s">
        <v>14</v>
      </c>
      <c r="M34" s="6" t="s">
        <v>296</v>
      </c>
      <c r="N34" s="7" t="s">
        <v>297</v>
      </c>
      <c r="O34" s="6" t="s">
        <v>298</v>
      </c>
      <c r="P34" s="6" t="s">
        <v>71</v>
      </c>
      <c r="Q34" s="6" t="s">
        <v>209</v>
      </c>
    </row>
    <row r="35" customFormat="false" ht="61.5" hidden="false" customHeight="true" outlineLevel="0" collapsed="false">
      <c r="A35" s="5" t="s">
        <v>299</v>
      </c>
      <c r="B35" s="7" t="s">
        <v>278</v>
      </c>
      <c r="C35" s="6" t="s">
        <v>300</v>
      </c>
      <c r="D35" s="7" t="s">
        <v>301</v>
      </c>
      <c r="E35" s="6" t="s">
        <v>33</v>
      </c>
      <c r="F35" s="6" t="s">
        <v>62</v>
      </c>
      <c r="G35" s="7" t="s">
        <v>302</v>
      </c>
      <c r="H35" s="7" t="s">
        <v>303</v>
      </c>
      <c r="I35" s="7" t="s">
        <v>304</v>
      </c>
      <c r="J35" s="7" t="s">
        <v>305</v>
      </c>
      <c r="K35" s="7" t="s">
        <v>306</v>
      </c>
      <c r="L35" s="28" t="s">
        <v>12</v>
      </c>
      <c r="M35" s="6" t="s">
        <v>307</v>
      </c>
      <c r="N35" s="7" t="s">
        <v>308</v>
      </c>
      <c r="O35" s="6" t="s">
        <v>309</v>
      </c>
      <c r="P35" s="6" t="s">
        <v>71</v>
      </c>
      <c r="Q35" s="6" t="s">
        <v>209</v>
      </c>
    </row>
    <row r="36" customFormat="false" ht="61.5" hidden="false" customHeight="true" outlineLevel="0" collapsed="false">
      <c r="A36" s="5" t="s">
        <v>310</v>
      </c>
      <c r="B36" s="7" t="s">
        <v>278</v>
      </c>
      <c r="C36" s="6" t="s">
        <v>300</v>
      </c>
      <c r="D36" s="7" t="s">
        <v>311</v>
      </c>
      <c r="E36" s="6" t="s">
        <v>33</v>
      </c>
      <c r="F36" s="6" t="s">
        <v>181</v>
      </c>
      <c r="G36" s="7" t="s">
        <v>312</v>
      </c>
      <c r="H36" s="7" t="s">
        <v>313</v>
      </c>
      <c r="I36" s="7" t="s">
        <v>314</v>
      </c>
      <c r="J36" s="7" t="s">
        <v>315</v>
      </c>
      <c r="K36" s="7" t="s">
        <v>316</v>
      </c>
      <c r="L36" s="27" t="s">
        <v>10</v>
      </c>
      <c r="M36" s="6" t="s">
        <v>307</v>
      </c>
      <c r="N36" s="7" t="s">
        <v>317</v>
      </c>
      <c r="O36" s="6" t="s">
        <v>82</v>
      </c>
      <c r="P36" s="6" t="s">
        <v>71</v>
      </c>
      <c r="Q36" s="6" t="s">
        <v>209</v>
      </c>
    </row>
    <row r="37" customFormat="false" ht="61.5" hidden="false" customHeight="true" outlineLevel="0" collapsed="false">
      <c r="A37" s="5" t="s">
        <v>318</v>
      </c>
      <c r="B37" s="7" t="s">
        <v>319</v>
      </c>
      <c r="C37" s="6" t="s">
        <v>320</v>
      </c>
      <c r="D37" s="7" t="s">
        <v>321</v>
      </c>
      <c r="E37" s="6" t="s">
        <v>29</v>
      </c>
      <c r="F37" s="6" t="s">
        <v>181</v>
      </c>
      <c r="G37" s="7" t="s">
        <v>322</v>
      </c>
      <c r="H37" s="7" t="s">
        <v>323</v>
      </c>
      <c r="I37" s="7" t="s">
        <v>324</v>
      </c>
      <c r="J37" s="7" t="s">
        <v>325</v>
      </c>
      <c r="K37" s="7" t="s">
        <v>326</v>
      </c>
      <c r="L37" s="27" t="s">
        <v>10</v>
      </c>
      <c r="M37" s="6" t="s">
        <v>68</v>
      </c>
      <c r="N37" s="7" t="s">
        <v>327</v>
      </c>
      <c r="O37" s="6" t="s">
        <v>82</v>
      </c>
      <c r="P37" s="6" t="s">
        <v>71</v>
      </c>
      <c r="Q37" s="6" t="s">
        <v>209</v>
      </c>
    </row>
    <row r="38" customFormat="false" ht="61.5" hidden="false" customHeight="true" outlineLevel="0" collapsed="false">
      <c r="A38" s="5" t="s">
        <v>328</v>
      </c>
      <c r="B38" s="7" t="s">
        <v>319</v>
      </c>
      <c r="C38" s="6" t="s">
        <v>320</v>
      </c>
      <c r="D38" s="7" t="s">
        <v>329</v>
      </c>
      <c r="E38" s="6" t="s">
        <v>29</v>
      </c>
      <c r="F38" s="6" t="s">
        <v>181</v>
      </c>
      <c r="G38" s="7" t="s">
        <v>330</v>
      </c>
      <c r="H38" s="7" t="s">
        <v>331</v>
      </c>
      <c r="I38" s="7" t="s">
        <v>332</v>
      </c>
      <c r="J38" s="7" t="s">
        <v>333</v>
      </c>
      <c r="K38" s="7" t="s">
        <v>87</v>
      </c>
      <c r="L38" s="27" t="s">
        <v>10</v>
      </c>
      <c r="M38" s="6" t="s">
        <v>68</v>
      </c>
      <c r="N38" s="7" t="s">
        <v>334</v>
      </c>
      <c r="O38" s="6" t="s">
        <v>82</v>
      </c>
      <c r="P38" s="6" t="s">
        <v>71</v>
      </c>
      <c r="Q38" s="6" t="s">
        <v>209</v>
      </c>
    </row>
    <row r="39" customFormat="false" ht="61.5" hidden="false" customHeight="true" outlineLevel="0" collapsed="false">
      <c r="A39" s="5" t="s">
        <v>335</v>
      </c>
      <c r="B39" s="7" t="s">
        <v>319</v>
      </c>
      <c r="C39" s="6" t="s">
        <v>336</v>
      </c>
      <c r="D39" s="7" t="s">
        <v>337</v>
      </c>
      <c r="E39" s="6" t="s">
        <v>25</v>
      </c>
      <c r="F39" s="6" t="s">
        <v>181</v>
      </c>
      <c r="G39" s="7" t="s">
        <v>338</v>
      </c>
      <c r="H39" s="7" t="s">
        <v>339</v>
      </c>
      <c r="I39" s="7" t="s">
        <v>340</v>
      </c>
      <c r="J39" s="7" t="s">
        <v>341</v>
      </c>
      <c r="K39" s="7" t="s">
        <v>342</v>
      </c>
      <c r="L39" s="27" t="s">
        <v>10</v>
      </c>
      <c r="M39" s="6" t="s">
        <v>68</v>
      </c>
      <c r="N39" s="7" t="s">
        <v>343</v>
      </c>
      <c r="O39" s="6" t="s">
        <v>82</v>
      </c>
      <c r="P39" s="6" t="s">
        <v>71</v>
      </c>
      <c r="Q39" s="6" t="s">
        <v>209</v>
      </c>
    </row>
    <row r="40" customFormat="false" ht="61.5" hidden="false" customHeight="true" outlineLevel="0" collapsed="false">
      <c r="A40" s="5" t="s">
        <v>344</v>
      </c>
      <c r="B40" s="7" t="s">
        <v>319</v>
      </c>
      <c r="C40" s="6" t="s">
        <v>345</v>
      </c>
      <c r="D40" s="7" t="s">
        <v>346</v>
      </c>
      <c r="E40" s="6" t="s">
        <v>35</v>
      </c>
      <c r="F40" s="6" t="s">
        <v>62</v>
      </c>
      <c r="G40" s="7" t="s">
        <v>347</v>
      </c>
      <c r="H40" s="7" t="s">
        <v>348</v>
      </c>
      <c r="I40" s="7" t="s">
        <v>349</v>
      </c>
      <c r="J40" s="7" t="s">
        <v>350</v>
      </c>
      <c r="K40" s="7" t="s">
        <v>351</v>
      </c>
      <c r="L40" s="27" t="s">
        <v>10</v>
      </c>
      <c r="M40" s="6" t="s">
        <v>68</v>
      </c>
      <c r="N40" s="7" t="s">
        <v>352</v>
      </c>
      <c r="O40" s="6" t="s">
        <v>82</v>
      </c>
      <c r="P40" s="6" t="s">
        <v>71</v>
      </c>
      <c r="Q40" s="6" t="s">
        <v>209</v>
      </c>
    </row>
  </sheetData>
  <autoFilter ref="A4:Q40"/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2026-09-19T04:31:10Z</dcterms:created>
  <dc:creator>openpyxl</dc:creator>
  <dc:description/>
  <dc:language>en-US</dc:language>
  <cp:lastModifiedBy/>
  <dcterms:modified xsi:type="dcterms:W3CDTF">2026-09-19T04:31:10Z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