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zabilidad" sheetId="1" state="visible" r:id="rId3"/>
    <sheet name="Cobertura por área" sheetId="2" state="visible" r:id="rId4"/>
  </sheets>
  <definedNames>
    <definedName function="false" hidden="true" localSheetId="0" name="_xlnm._FilterDatabase" vbProcedure="false">Trazabilidad!$A$4:$L$19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<sst xmlns="http://schemas.openxmlformats.org/spreadsheetml/2006/main" count="145" uniqueCount="83">
  <si>
    <t xml:space="preserve">MATRIZ DE TRAZABILIDAD - ShopNow S.A. | Módulo Registro y Perfil</t>
  </si>
  <si>
    <t xml:space="preserve">Conecta cada requerimiento con los casos que lo verifican y el resultado real de la ejecución | Fase 1 y actualizada en Fase 3</t>
  </si>
  <si>
    <t xml:space="preserve">ID Req</t>
  </si>
  <si>
    <t xml:space="preserve">Tipo</t>
  </si>
  <si>
    <t xml:space="preserve">Descripción del requerimiento</t>
  </si>
  <si>
    <t xml:space="preserve">Prioridad</t>
  </si>
  <si>
    <t xml:space="preserve">Casos de prueba que lo verifican</t>
  </si>
  <si>
    <t xml:space="preserve">Cant. casos</t>
  </si>
  <si>
    <t xml:space="preserve">Passed</t>
  </si>
  <si>
    <t xml:space="preserve">Failed</t>
  </si>
  <si>
    <t xml:space="preserve">Blocked</t>
  </si>
  <si>
    <t xml:space="preserve">Bugs asociados</t>
  </si>
  <si>
    <t xml:space="preserve">Estado de cobertura</t>
  </si>
  <si>
    <t xml:space="preserve">Veredicto QA</t>
  </si>
  <si>
    <t xml:space="preserve">RF-01</t>
  </si>
  <si>
    <t xml:space="preserve">Funcional</t>
  </si>
  <si>
    <t xml:space="preserve">El email debe tener formato válido (contener @ y dominio)</t>
  </si>
  <si>
    <t xml:space="preserve">Alta</t>
  </si>
  <si>
    <t xml:space="preserve">CP-001, CP-002, CP-003, CP-004, CP-006</t>
  </si>
  <si>
    <t xml:space="preserve">-</t>
  </si>
  <si>
    <t xml:space="preserve">Cubierto</t>
  </si>
  <si>
    <t xml:space="preserve">Verificado y conforme</t>
  </si>
  <si>
    <t xml:space="preserve">RF-02</t>
  </si>
  <si>
    <t xml:space="preserve">No se permite registrar el mismo email dos veces</t>
  </si>
  <si>
    <t xml:space="preserve">CP-005</t>
  </si>
  <si>
    <t xml:space="preserve">BUG-005</t>
  </si>
  <si>
    <t xml:space="preserve">Verificado con defectos abiertos</t>
  </si>
  <si>
    <t xml:space="preserve">RF-03</t>
  </si>
  <si>
    <t xml:space="preserve">La contraseña debe tener mínimo 8 caracteres, 1 mayúscula y 1 número</t>
  </si>
  <si>
    <t xml:space="preserve">CP-001, CP-007, CP-008, CP-009, CP-010, CP-012, CP-024</t>
  </si>
  <si>
    <t xml:space="preserve">RF-04</t>
  </si>
  <si>
    <t xml:space="preserve">La confirmación de contraseña debe coincidir con la contraseña ingresada</t>
  </si>
  <si>
    <t xml:space="preserve">CP-011</t>
  </si>
  <si>
    <t xml:space="preserve">RF-05</t>
  </si>
  <si>
    <t xml:space="preserve">El checkbox de T&amp;C debe estar marcado para completar el registro</t>
  </si>
  <si>
    <t xml:space="preserve">CP-001, CP-013, CP-014</t>
  </si>
  <si>
    <t xml:space="preserve">RF-06</t>
  </si>
  <si>
    <t xml:space="preserve">El sistema debe enviar email de bienvenida al completar el registro</t>
  </si>
  <si>
    <t xml:space="preserve">CP-015, CP-016</t>
  </si>
  <si>
    <t xml:space="preserve">BUG-003</t>
  </si>
  <si>
    <t xml:space="preserve">RF-07</t>
  </si>
  <si>
    <t xml:space="preserve">El usuario puede editar nombre, apellido, teléfono y fecha de nacimiento</t>
  </si>
  <si>
    <t xml:space="preserve">Media</t>
  </si>
  <si>
    <t xml:space="preserve">CP-017, CP-018, CP-019, CP-020, CP-021</t>
  </si>
  <si>
    <t xml:space="preserve">BUG-006, BUG-008</t>
  </si>
  <si>
    <t xml:space="preserve">RF-08</t>
  </si>
  <si>
    <t xml:space="preserve">El cambio de contraseña requiere ingresar la contraseña actual correcta</t>
  </si>
  <si>
    <t xml:space="preserve">CP-022, CP-023, CP-024</t>
  </si>
  <si>
    <t xml:space="preserve">RF-09</t>
  </si>
  <si>
    <t xml:space="preserve">La foto de perfil debe ser JPG o PNG y no superar 2 MB</t>
  </si>
  <si>
    <t xml:space="preserve">CP-025, CP-026, CP-027, CP-028</t>
  </si>
  <si>
    <t xml:space="preserve">BUG-007</t>
  </si>
  <si>
    <t xml:space="preserve">RF-10</t>
  </si>
  <si>
    <t xml:space="preserve">El usuario puede agregar hasta 5 direcciones de envío</t>
  </si>
  <si>
    <t xml:space="preserve">CP-033, CP-034</t>
  </si>
  <si>
    <t xml:space="preserve">RF-11</t>
  </si>
  <si>
    <t xml:space="preserve">Solo puede haber una dirección marcada como 'principal' a la vez</t>
  </si>
  <si>
    <t xml:space="preserve">CP-035</t>
  </si>
  <si>
    <t xml:space="preserve">RNF-01</t>
  </si>
  <si>
    <t xml:space="preserve">No funcional</t>
  </si>
  <si>
    <t xml:space="preserve">La página de registro debe cargar en menos de 3 segundos</t>
  </si>
  <si>
    <t xml:space="preserve">CP-036</t>
  </si>
  <si>
    <t xml:space="preserve">RNF-02</t>
  </si>
  <si>
    <t xml:space="preserve">El formulario debe ser compatible con Chrome, Firefox y Safari</t>
  </si>
  <si>
    <t xml:space="preserve">CP-029, CP-030</t>
  </si>
  <si>
    <t xml:space="preserve">BUG-002</t>
  </si>
  <si>
    <t xml:space="preserve">RNF-03</t>
  </si>
  <si>
    <t xml:space="preserve">El diseño debe ser responsive (mobile 375px, tablet 768px, desktop)</t>
  </si>
  <si>
    <t xml:space="preserve">CP-031, CP-032</t>
  </si>
  <si>
    <t xml:space="preserve">BUG-004</t>
  </si>
  <si>
    <t xml:space="preserve">RNF-04</t>
  </si>
  <si>
    <t xml:space="preserve">Los campos de contraseña no deben mostrar el texto en claro por defecto</t>
  </si>
  <si>
    <t xml:space="preserve">CP-010</t>
  </si>
  <si>
    <t xml:space="preserve">BUG-001</t>
  </si>
  <si>
    <t xml:space="preserve">TOTALES</t>
  </si>
  <si>
    <t xml:space="preserve">Nota: la cantidad de casos por requerimiento suma mas de 36 porque un mismo caso puede verificar mas de un requerimiento (por ejemplo CP-010 verifica RF-03 y RNF-04). El total de casos únicos ejecutados es 36.</t>
  </si>
  <si>
    <t xml:space="preserve">COBERTURA POR AREA FUNCIONAL</t>
  </si>
  <si>
    <t xml:space="preserve">Calculado con fórmulas sobre la hoja 'Trazabilidad'</t>
  </si>
  <si>
    <t xml:space="preserve">Área / Tipo</t>
  </si>
  <si>
    <t xml:space="preserve">Requerimientos</t>
  </si>
  <si>
    <t xml:space="preserve">Casos asociados</t>
  </si>
  <si>
    <t xml:space="preserve">Casos fallidos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</si>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</sst>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9" min="6" style="0" width="9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2.35" hidden="false" customHeight="false" outlineLevel="0" collapsed="false">
      <c r="A5" s="4" t="s">
        <v>14</v>
      </c>
      <c r="B5" s="5" t="s">
        <v>15</v>
      </c>
      <c r="C5" s="6" t="s">
        <v>16</v>
      </c>
      <c r="D5" s="5" t="s">
        <v>17</v>
      </c>
      <c r="E5" s="6" t="s">
        <v>18</v>
      </c>
      <c r="F5" s="5" t="n">
        <v>5</v>
      </c>
      <c r="G5" s="7" t="n">
        <v>5</v>
      </c>
      <c r="H5" s="5" t="n">
        <v>0</v>
      </c>
      <c r="I5" s="5" t="n">
        <v>0</v>
      </c>
      <c r="J5" s="5" t="s">
        <v>19</v>
      </c>
      <c r="K5" s="8" t="s">
        <v>20</v>
      </c>
      <c r="L5" s="9" t="s">
        <v>21</v>
      </c>
    </row>
    <row r="6" customFormat="false" ht="15" hidden="false" customHeight="false" outlineLevel="0" collapsed="false">
      <c r="A6" s="4" t="s">
        <v>22</v>
      </c>
      <c r="B6" s="5" t="s">
        <v>15</v>
      </c>
      <c r="C6" s="6" t="s">
        <v>23</v>
      </c>
      <c r="D6" s="5" t="s">
        <v>17</v>
      </c>
      <c r="E6" s="6" t="s">
        <v>24</v>
      </c>
      <c r="F6" s="5" t="n">
        <v>1</v>
      </c>
      <c r="G6" s="5" t="n">
        <v>0</v>
      </c>
      <c r="H6" s="10" t="n">
        <v>1</v>
      </c>
      <c r="I6" s="5" t="n">
        <v>0</v>
      </c>
      <c r="J6" s="5" t="s">
        <v>25</v>
      </c>
      <c r="K6" s="8" t="s">
        <v>20</v>
      </c>
      <c r="L6" s="11" t="s">
        <v>26</v>
      </c>
    </row>
    <row r="7" customFormat="false" ht="22.35" hidden="false" customHeight="false" outlineLevel="0" collapsed="false">
      <c r="A7" s="4" t="s">
        <v>27</v>
      </c>
      <c r="B7" s="5" t="s">
        <v>15</v>
      </c>
      <c r="C7" s="6" t="s">
        <v>28</v>
      </c>
      <c r="D7" s="5" t="s">
        <v>17</v>
      </c>
      <c r="E7" s="6" t="s">
        <v>29</v>
      </c>
      <c r="F7" s="5" t="n">
        <v>7</v>
      </c>
      <c r="G7" s="7" t="n">
        <v>6</v>
      </c>
      <c r="H7" s="10" t="n">
        <v>1</v>
      </c>
      <c r="I7" s="5" t="n">
        <v>0</v>
      </c>
      <c r="J7" s="5" t="s">
        <v>19</v>
      </c>
      <c r="K7" s="8" t="s">
        <v>20</v>
      </c>
      <c r="L7" s="11" t="s">
        <v>26</v>
      </c>
    </row>
    <row r="8" customFormat="false" ht="22.35" hidden="false" customHeight="false" outlineLevel="0" collapsed="false">
      <c r="A8" s="4" t="s">
        <v>30</v>
      </c>
      <c r="B8" s="5" t="s">
        <v>15</v>
      </c>
      <c r="C8" s="6" t="s">
        <v>31</v>
      </c>
      <c r="D8" s="5" t="s">
        <v>17</v>
      </c>
      <c r="E8" s="6" t="s">
        <v>32</v>
      </c>
      <c r="F8" s="5" t="n">
        <v>1</v>
      </c>
      <c r="G8" s="7" t="n">
        <v>1</v>
      </c>
      <c r="H8" s="5" t="n">
        <v>0</v>
      </c>
      <c r="I8" s="5" t="n">
        <v>0</v>
      </c>
      <c r="J8" s="5" t="s">
        <v>19</v>
      </c>
      <c r="K8" s="8" t="s">
        <v>20</v>
      </c>
      <c r="L8" s="9" t="s">
        <v>21</v>
      </c>
    </row>
    <row r="9" customFormat="false" ht="22.35" hidden="false" customHeight="false" outlineLevel="0" collapsed="false">
      <c r="A9" s="4" t="s">
        <v>33</v>
      </c>
      <c r="B9" s="5" t="s">
        <v>15</v>
      </c>
      <c r="C9" s="6" t="s">
        <v>34</v>
      </c>
      <c r="D9" s="5" t="s">
        <v>17</v>
      </c>
      <c r="E9" s="6" t="s">
        <v>35</v>
      </c>
      <c r="F9" s="5" t="n">
        <v>3</v>
      </c>
      <c r="G9" s="7" t="n">
        <v>3</v>
      </c>
      <c r="H9" s="5" t="n">
        <v>0</v>
      </c>
      <c r="I9" s="5" t="n">
        <v>0</v>
      </c>
      <c r="J9" s="5" t="s">
        <v>19</v>
      </c>
      <c r="K9" s="8" t="s">
        <v>20</v>
      </c>
      <c r="L9" s="9" t="s">
        <v>21</v>
      </c>
    </row>
    <row r="10" customFormat="false" ht="22.35" hidden="false" customHeight="false" outlineLevel="0" collapsed="false">
      <c r="A10" s="4" t="s">
        <v>36</v>
      </c>
      <c r="B10" s="5" t="s">
        <v>15</v>
      </c>
      <c r="C10" s="6" t="s">
        <v>37</v>
      </c>
      <c r="D10" s="5" t="s">
        <v>17</v>
      </c>
      <c r="E10" s="6" t="s">
        <v>38</v>
      </c>
      <c r="F10" s="5" t="n">
        <v>2</v>
      </c>
      <c r="G10" s="5" t="n">
        <v>0</v>
      </c>
      <c r="H10" s="10" t="n">
        <v>1</v>
      </c>
      <c r="I10" s="12" t="n">
        <v>1</v>
      </c>
      <c r="J10" s="5" t="s">
        <v>39</v>
      </c>
      <c r="K10" s="8" t="s">
        <v>20</v>
      </c>
      <c r="L10" s="11" t="s">
        <v>26</v>
      </c>
    </row>
    <row r="11" customFormat="false" ht="22.35" hidden="false" customHeight="false" outlineLevel="0" collapsed="false">
      <c r="A11" s="4" t="s">
        <v>40</v>
      </c>
      <c r="B11" s="5" t="s">
        <v>15</v>
      </c>
      <c r="C11" s="6" t="s">
        <v>41</v>
      </c>
      <c r="D11" s="5" t="s">
        <v>42</v>
      </c>
      <c r="E11" s="6" t="s">
        <v>43</v>
      </c>
      <c r="F11" s="5" t="n">
        <v>5</v>
      </c>
      <c r="G11" s="7" t="n">
        <v>4</v>
      </c>
      <c r="H11" s="10" t="n">
        <v>1</v>
      </c>
      <c r="I11" s="5" t="n">
        <v>0</v>
      </c>
      <c r="J11" s="5" t="s">
        <v>44</v>
      </c>
      <c r="K11" s="8" t="s">
        <v>20</v>
      </c>
      <c r="L11" s="11" t="s">
        <v>26</v>
      </c>
    </row>
    <row r="12" customFormat="false" ht="22.35" hidden="false" customHeight="false" outlineLevel="0" collapsed="false">
      <c r="A12" s="4" t="s">
        <v>45</v>
      </c>
      <c r="B12" s="5" t="s">
        <v>15</v>
      </c>
      <c r="C12" s="6" t="s">
        <v>46</v>
      </c>
      <c r="D12" s="5" t="s">
        <v>17</v>
      </c>
      <c r="E12" s="6" t="s">
        <v>47</v>
      </c>
      <c r="F12" s="5" t="n">
        <v>3</v>
      </c>
      <c r="G12" s="7" t="n">
        <v>3</v>
      </c>
      <c r="H12" s="5" t="n">
        <v>0</v>
      </c>
      <c r="I12" s="5" t="n">
        <v>0</v>
      </c>
      <c r="J12" s="5" t="s">
        <v>19</v>
      </c>
      <c r="K12" s="8" t="s">
        <v>20</v>
      </c>
      <c r="L12" s="9" t="s">
        <v>21</v>
      </c>
    </row>
    <row r="13" customFormat="false" ht="15" hidden="false" customHeight="false" outlineLevel="0" collapsed="false">
      <c r="A13" s="4" t="s">
        <v>48</v>
      </c>
      <c r="B13" s="5" t="s">
        <v>15</v>
      </c>
      <c r="C13" s="6" t="s">
        <v>49</v>
      </c>
      <c r="D13" s="5" t="s">
        <v>42</v>
      </c>
      <c r="E13" s="6" t="s">
        <v>50</v>
      </c>
      <c r="F13" s="5" t="n">
        <v>4</v>
      </c>
      <c r="G13" s="7" t="n">
        <v>3</v>
      </c>
      <c r="H13" s="10" t="n">
        <v>1</v>
      </c>
      <c r="I13" s="5" t="n">
        <v>0</v>
      </c>
      <c r="J13" s="5" t="s">
        <v>51</v>
      </c>
      <c r="K13" s="8" t="s">
        <v>20</v>
      </c>
      <c r="L13" s="11" t="s">
        <v>26</v>
      </c>
    </row>
    <row r="14" customFormat="false" ht="15" hidden="false" customHeight="false" outlineLevel="0" collapsed="false">
      <c r="A14" s="4" t="s">
        <v>52</v>
      </c>
      <c r="B14" s="5" t="s">
        <v>15</v>
      </c>
      <c r="C14" s="6" t="s">
        <v>53</v>
      </c>
      <c r="D14" s="5" t="s">
        <v>42</v>
      </c>
      <c r="E14" s="6" t="s">
        <v>54</v>
      </c>
      <c r="F14" s="5" t="n">
        <v>2</v>
      </c>
      <c r="G14" s="7" t="n">
        <v>2</v>
      </c>
      <c r="H14" s="5" t="n">
        <v>0</v>
      </c>
      <c r="I14" s="5" t="n">
        <v>0</v>
      </c>
      <c r="J14" s="5" t="s">
        <v>19</v>
      </c>
      <c r="K14" s="8" t="s">
        <v>20</v>
      </c>
      <c r="L14" s="9" t="s">
        <v>21</v>
      </c>
    </row>
    <row r="15" customFormat="false" ht="22.35" hidden="false" customHeight="false" outlineLevel="0" collapsed="false">
      <c r="A15" s="4" t="s">
        <v>55</v>
      </c>
      <c r="B15" s="5" t="s">
        <v>15</v>
      </c>
      <c r="C15" s="6" t="s">
        <v>56</v>
      </c>
      <c r="D15" s="5" t="s">
        <v>42</v>
      </c>
      <c r="E15" s="6" t="s">
        <v>57</v>
      </c>
      <c r="F15" s="5" t="n">
        <v>1</v>
      </c>
      <c r="G15" s="7" t="n">
        <v>1</v>
      </c>
      <c r="H15" s="5" t="n">
        <v>0</v>
      </c>
      <c r="I15" s="5" t="n">
        <v>0</v>
      </c>
      <c r="J15" s="5" t="s">
        <v>19</v>
      </c>
      <c r="K15" s="8" t="s">
        <v>20</v>
      </c>
      <c r="L15" s="9" t="s">
        <v>21</v>
      </c>
    </row>
    <row r="16" customFormat="false" ht="15" hidden="false" customHeight="false" outlineLevel="0" collapsed="false">
      <c r="A16" s="4" t="s">
        <v>58</v>
      </c>
      <c r="B16" s="5" t="s">
        <v>59</v>
      </c>
      <c r="C16" s="6" t="s">
        <v>60</v>
      </c>
      <c r="D16" s="5" t="s">
        <v>17</v>
      </c>
      <c r="E16" s="6" t="s">
        <v>61</v>
      </c>
      <c r="F16" s="5" t="n">
        <v>1</v>
      </c>
      <c r="G16" s="7" t="n">
        <v>1</v>
      </c>
      <c r="H16" s="5" t="n">
        <v>0</v>
      </c>
      <c r="I16" s="5" t="n">
        <v>0</v>
      </c>
      <c r="J16" s="5" t="s">
        <v>19</v>
      </c>
      <c r="K16" s="8" t="s">
        <v>20</v>
      </c>
      <c r="L16" s="9" t="s">
        <v>21</v>
      </c>
    </row>
    <row r="17" customFormat="false" ht="22.35" hidden="false" customHeight="false" outlineLevel="0" collapsed="false">
      <c r="A17" s="4" t="s">
        <v>62</v>
      </c>
      <c r="B17" s="5" t="s">
        <v>59</v>
      </c>
      <c r="C17" s="6" t="s">
        <v>63</v>
      </c>
      <c r="D17" s="5" t="s">
        <v>17</v>
      </c>
      <c r="E17" s="6" t="s">
        <v>64</v>
      </c>
      <c r="F17" s="5" t="n">
        <v>2</v>
      </c>
      <c r="G17" s="5" t="n">
        <v>0</v>
      </c>
      <c r="H17" s="10" t="n">
        <v>1</v>
      </c>
      <c r="I17" s="12" t="n">
        <v>1</v>
      </c>
      <c r="J17" s="5" t="s">
        <v>65</v>
      </c>
      <c r="K17" s="8" t="s">
        <v>20</v>
      </c>
      <c r="L17" s="11" t="s">
        <v>26</v>
      </c>
    </row>
    <row r="18" customFormat="false" ht="22.35" hidden="false" customHeight="false" outlineLevel="0" collapsed="false">
      <c r="A18" s="4" t="s">
        <v>66</v>
      </c>
      <c r="B18" s="5" t="s">
        <v>59</v>
      </c>
      <c r="C18" s="6" t="s">
        <v>67</v>
      </c>
      <c r="D18" s="5" t="s">
        <v>17</v>
      </c>
      <c r="E18" s="6" t="s">
        <v>68</v>
      </c>
      <c r="F18" s="5" t="n">
        <v>2</v>
      </c>
      <c r="G18" s="7" t="n">
        <v>1</v>
      </c>
      <c r="H18" s="10" t="n">
        <v>1</v>
      </c>
      <c r="I18" s="5" t="n">
        <v>0</v>
      </c>
      <c r="J18" s="5" t="s">
        <v>69</v>
      </c>
      <c r="K18" s="8" t="s">
        <v>20</v>
      </c>
      <c r="L18" s="11" t="s">
        <v>26</v>
      </c>
    </row>
    <row r="19" customFormat="false" ht="22.35" hidden="false" customHeight="false" outlineLevel="0" collapsed="false">
      <c r="A19" s="4" t="s">
        <v>70</v>
      </c>
      <c r="B19" s="5" t="s">
        <v>59</v>
      </c>
      <c r="C19" s="6" t="s">
        <v>71</v>
      </c>
      <c r="D19" s="5" t="s">
        <v>17</v>
      </c>
      <c r="E19" s="6" t="s">
        <v>72</v>
      </c>
      <c r="F19" s="5" t="n">
        <v>1</v>
      </c>
      <c r="G19" s="5" t="n">
        <v>0</v>
      </c>
      <c r="H19" s="10" t="n">
        <v>1</v>
      </c>
      <c r="I19" s="5" t="n">
        <v>0</v>
      </c>
      <c r="J19" s="5" t="s">
        <v>73</v>
      </c>
      <c r="K19" s="8" t="s">
        <v>20</v>
      </c>
      <c r="L19" s="11" t="s">
        <v>26</v>
      </c>
    </row>
    <row r="20" customFormat="false" ht="15" hidden="false" customHeight="true" outlineLevel="0" collapsed="false">
      <c r="A20" s="13" t="s">
        <v>74</v>
      </c>
      <c r="B20" s="13"/>
      <c r="C20" s="13"/>
      <c r="D20" s="13"/>
      <c r="E20" s="13"/>
      <c r="F20" s="14" t="n">
        <f aca="false">SUM(F5:F19)</f>
        <v>40</v>
      </c>
      <c r="G20" s="14" t="n">
        <f aca="false">SUM(G5:G19)</f>
        <v>30</v>
      </c>
      <c r="H20" s="14" t="n">
        <f aca="false">SUM(H5:H19)</f>
        <v>8</v>
      </c>
      <c r="I20" s="14" t="n">
        <f aca="false">SUM(I5:I19)</f>
        <v>2</v>
      </c>
      <c r="J20" s="15"/>
      <c r="K20" s="14" t="str">
        <f aca="false">COUNTIF(K5:K19,"Cubierto")&amp;" / "&amp;COUNTA(K5:K19)</f>
        <v>15 / 15</v>
      </c>
      <c r="L20" s="16" t="n">
        <f aca="false">IFERROR(COUNTIF(K5:K19,"Cubierto")/COUNTA(K5:K19),0)</f>
        <v>1</v>
      </c>
    </row>
    <row r="22" customFormat="false" ht="15" hidden="false" customHeight="true" outlineLevel="0" collapsed="false">
      <c r="A22" s="17" t="s">
        <v>75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</sheetData>
  <autoFilter ref="A4:L19"/>
  <mergeCells count="4">
    <mergeCell ref="A1:L1"/>
    <mergeCell ref="A2:L2"/>
    <mergeCell ref="A20:E20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8"/>
  </cols>
  <sheetData>
    <row r="1" customFormat="false" ht="25.5" hidden="false" customHeight="true" outlineLevel="0" collapsed="false">
      <c r="A1" s="1" t="s">
        <v>76</v>
      </c>
      <c r="B1" s="1"/>
      <c r="C1" s="1"/>
      <c r="D1" s="1"/>
    </row>
    <row r="2" customFormat="false" ht="18" hidden="false" customHeight="true" outlineLevel="0" collapsed="false">
      <c r="A2" s="2" t="s">
        <v>77</v>
      </c>
      <c r="B2" s="2"/>
      <c r="C2" s="2"/>
      <c r="D2" s="2"/>
    </row>
    <row r="4" customFormat="false" ht="30" hidden="false" customHeight="true" outlineLevel="0" collapsed="false">
      <c r="A4" s="3" t="s">
        <v>78</v>
      </c>
      <c r="B4" s="3" t="s">
        <v>79</v>
      </c>
      <c r="C4" s="3" t="s">
        <v>80</v>
      </c>
      <c r="D4" s="3" t="s">
        <v>81</v>
      </c>
    </row>
    <row r="5" customFormat="false" ht="15" hidden="false" customHeight="false" outlineLevel="0" collapsed="false">
      <c r="A5" s="18" t="s">
        <v>15</v>
      </c>
      <c r="B5" s="5" t="n">
        <f aca="false">COUNTIF(Trazabilidad!B5:B19,"Funcional")</f>
        <v>11</v>
      </c>
      <c r="C5" s="5" t="n">
        <f aca="false">SUMIF(Trazabilidad!B5:B19,"Funcional",Trazabilidad!F5:F19)</f>
        <v>34</v>
      </c>
      <c r="D5" s="5" t="n">
        <f aca="false">SUMIF(Trazabilidad!B5:B19,"Funcional",Trazabilidad!H5:H19)</f>
        <v>5</v>
      </c>
    </row>
    <row r="6" customFormat="false" ht="15" hidden="false" customHeight="false" outlineLevel="0" collapsed="false">
      <c r="A6" s="18" t="s">
        <v>59</v>
      </c>
      <c r="B6" s="5" t="n">
        <f aca="false">COUNTIF(Trazabilidad!B5:B19,"No funcional")</f>
        <v>4</v>
      </c>
      <c r="C6" s="5" t="n">
        <f aca="false">SUMIF(Trazabilidad!B5:B19,"No funcional",Trazabilidad!F5:F19)</f>
        <v>6</v>
      </c>
      <c r="D6" s="5" t="n">
        <f aca="false">SUMIF(Trazabilidad!B5:B19,"No funcional",Trazabilidad!H5:H19)</f>
        <v>3</v>
      </c>
    </row>
    <row r="7" customFormat="false" ht="15" hidden="false" customHeight="false" outlineLevel="0" collapsed="false">
      <c r="A7" s="19" t="s">
        <v>82</v>
      </c>
      <c r="B7" s="14" t="n">
        <f aca="false">SUM(B5:B6)</f>
        <v>15</v>
      </c>
      <c r="C7" s="14" t="n">
        <f aca="false">SUM(C5:C6)</f>
        <v>40</v>
      </c>
      <c r="D7" s="14" t="n">
        <f aca="false">SUM(D5:D6)</f>
        <v>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2026-09-19T04:31:09Z</dcterms:created>
  <dc:creator>openpyxl</dc:creator>
  <dc:description/>
  <dc:language>en-US</dc:language>
  <cp:lastModifiedBy/>
  <dcterms:modified xsi:type="dcterms:W3CDTF">2026-09-19T04:31:10Z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