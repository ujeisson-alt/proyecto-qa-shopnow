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erimientos" sheetId="1" state="visible" r:id="rId3"/>
    <sheet name="Resumen" sheetId="2" state="visible" r:id="rId4"/>
    <sheet name="Leyenda" sheetId="3" state="visible" r:id="rId5"/>
  </sheets>
  <definedNames>
    <definedName function="false" hidden="true" localSheetId="0" name="_xlnm._FilterDatabase" vbProcedure="false">Requerimientos!$A$4:$I$19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<sst xmlns="http://schemas.openxmlformats.org/spreadsheetml/2006/main" count="188" uniqueCount="122">
  <si>
    <t xml:space="preserve">ANALISIS DE REQUERIMIENTOS - ShopNow S.A. | Módulo Registro y Perfil</t>
  </si>
  <si>
    <t xml:space="preserve">Fuente: documentación funcional entregada por la PO Valentina Diaz | QA: Jeisson Marin Uribe Luis | Sprint 1 - Fase 1</t>
  </si>
  <si>
    <t xml:space="preserve">ID</t>
  </si>
  <si>
    <t xml:space="preserve">Tipo</t>
  </si>
  <si>
    <t xml:space="preserve">Área / Módulo</t>
  </si>
  <si>
    <t xml:space="preserve">Descripción del requerimiento</t>
  </si>
  <si>
    <t xml:space="preserve">Prioridad</t>
  </si>
  <si>
    <t xml:space="preserve">Criterio de aceptación</t>
  </si>
  <si>
    <t xml:space="preserve">Riesgo</t>
  </si>
  <si>
    <t xml:space="preserve">Casos de prueba asociados</t>
  </si>
  <si>
    <t xml:space="preserve">Cobertura</t>
  </si>
  <si>
    <t xml:space="preserve">RF-01</t>
  </si>
  <si>
    <t xml:space="preserve">Funcional</t>
  </si>
  <si>
    <t xml:space="preserve">Registro</t>
  </si>
  <si>
    <t xml:space="preserve">El email debe tener formato válido (contener @ y dominio)</t>
  </si>
  <si>
    <t xml:space="preserve">Alta</t>
  </si>
  <si>
    <t xml:space="preserve">El sistema rechaza cualquier cadena sin @ o sin dominio y muestra mensaje de error específico</t>
  </si>
  <si>
    <t xml:space="preserve">Alto</t>
  </si>
  <si>
    <t xml:space="preserve">CP-001, CP-002, CP-003, CP-004, CP-006</t>
  </si>
  <si>
    <t xml:space="preserve">Cubierto</t>
  </si>
  <si>
    <t xml:space="preserve">RF-02</t>
  </si>
  <si>
    <t xml:space="preserve">No se permite registrar el mismo email dos veces</t>
  </si>
  <si>
    <t xml:space="preserve">Al reintentar con un email existente el sistema informa que la cuenta ya está registrada</t>
  </si>
  <si>
    <t xml:space="preserve">CP-005</t>
  </si>
  <si>
    <t xml:space="preserve">RF-03</t>
  </si>
  <si>
    <t xml:space="preserve">La contraseña debe tener mínimo 8 caracteres, 1 mayúscula y 1 número</t>
  </si>
  <si>
    <t xml:space="preserve">El sistema bloquea el envío y detalla la regla incumplida</t>
  </si>
  <si>
    <t xml:space="preserve">CP-001, CP-007, CP-008, CP-009, CP-010, CP-012, CP-024</t>
  </si>
  <si>
    <t xml:space="preserve">RF-04</t>
  </si>
  <si>
    <t xml:space="preserve">La confirmación de contraseña debe coincidir con la contraseña ingresada</t>
  </si>
  <si>
    <t xml:space="preserve">Si no coinciden, el formulario no se envía y se marca el campo confirmación</t>
  </si>
  <si>
    <t xml:space="preserve">CP-011</t>
  </si>
  <si>
    <t xml:space="preserve">RF-05</t>
  </si>
  <si>
    <t xml:space="preserve">El checkbox de T&amp;C debe estar marcado para completar el registro</t>
  </si>
  <si>
    <t xml:space="preserve">Con el checkbox sin marcar el botón no ejecuta el alta y se muestra aviso</t>
  </si>
  <si>
    <t xml:space="preserve">Medio</t>
  </si>
  <si>
    <t xml:space="preserve">CP-001, CP-013, CP-014</t>
  </si>
  <si>
    <t xml:space="preserve">RF-06</t>
  </si>
  <si>
    <t xml:space="preserve">El sistema debe enviar email de bienvenida al completar el registro</t>
  </si>
  <si>
    <t xml:space="preserve">El email llega a la casilla del usuario con link funcional de acceso</t>
  </si>
  <si>
    <t xml:space="preserve">CP-015, CP-016</t>
  </si>
  <si>
    <t xml:space="preserve">RF-07</t>
  </si>
  <si>
    <t xml:space="preserve">Perfil</t>
  </si>
  <si>
    <t xml:space="preserve">El usuario puede editar nombre, apellido, teléfono y fecha de nacimiento</t>
  </si>
  <si>
    <t xml:space="preserve">Media</t>
  </si>
  <si>
    <t xml:space="preserve">Los cambios persisten luego de recargar la página</t>
  </si>
  <si>
    <t xml:space="preserve">CP-017, CP-018, CP-019, CP-020, CP-021</t>
  </si>
  <si>
    <t xml:space="preserve">RF-08</t>
  </si>
  <si>
    <t xml:space="preserve">El cambio de contraseña requiere ingresar la contraseña actual correcta</t>
  </si>
  <si>
    <t xml:space="preserve">Con contraseña actual incorrecta el cambio se rechaza</t>
  </si>
  <si>
    <t xml:space="preserve">CP-022, CP-023, CP-024</t>
  </si>
  <si>
    <t xml:space="preserve">RF-09</t>
  </si>
  <si>
    <t xml:space="preserve">La foto de perfil debe ser JPG o PNG y no superar 2 MB</t>
  </si>
  <si>
    <t xml:space="preserve">Archivos de otro formato o mayores a 2 MB son rechazados con mensaje claro</t>
  </si>
  <si>
    <t xml:space="preserve">CP-025, CP-026, CP-027, CP-028</t>
  </si>
  <si>
    <t xml:space="preserve">RF-10</t>
  </si>
  <si>
    <t xml:space="preserve">El usuario puede agregar hasta 5 direcciones de envío</t>
  </si>
  <si>
    <t xml:space="preserve">La sexta dirección es rechazada informando el límite</t>
  </si>
  <si>
    <t xml:space="preserve">CP-033, CP-034</t>
  </si>
  <si>
    <t xml:space="preserve">RF-11</t>
  </si>
  <si>
    <t xml:space="preserve">Solo puede haber una dirección marcada como 'principal' a la vez</t>
  </si>
  <si>
    <t xml:space="preserve">Al marcar una nueva principal, la anterior pierde la marca automáticamente</t>
  </si>
  <si>
    <t xml:space="preserve">CP-035</t>
  </si>
  <si>
    <t xml:space="preserve">RNF-01</t>
  </si>
  <si>
    <t xml:space="preserve">No funcional</t>
  </si>
  <si>
    <t xml:space="preserve">Rendimiento</t>
  </si>
  <si>
    <t xml:space="preserve">La página de registro debe cargar en menos de 3 segundos</t>
  </si>
  <si>
    <t xml:space="preserve">Tiempo de carga medido en DevTools/Network menor a 3.000 ms</t>
  </si>
  <si>
    <t xml:space="preserve">CP-036</t>
  </si>
  <si>
    <t xml:space="preserve">RNF-02</t>
  </si>
  <si>
    <t xml:space="preserve">Compatibilidad</t>
  </si>
  <si>
    <t xml:space="preserve">El formulario debe ser compatible con Chrome, Firefox y Safari</t>
  </si>
  <si>
    <t xml:space="preserve">El flujo completo de registro se ejecuta sin diferencias funcionales entre navegadores</t>
  </si>
  <si>
    <t xml:space="preserve">CP-029, CP-030</t>
  </si>
  <si>
    <t xml:space="preserve">RNF-03</t>
  </si>
  <si>
    <t xml:space="preserve">Interfaz</t>
  </si>
  <si>
    <t xml:space="preserve">El diseño debe ser responsive (mobile 375px, tablet 768px, desktop)</t>
  </si>
  <si>
    <t xml:space="preserve">Todos los controles son visibles y operables en las tres resoluciones</t>
  </si>
  <si>
    <t xml:space="preserve">CP-031, CP-032</t>
  </si>
  <si>
    <t xml:space="preserve">RNF-04</t>
  </si>
  <si>
    <t xml:space="preserve">Seguridad</t>
  </si>
  <si>
    <t xml:space="preserve">Los campos de contraseña no deben mostrar el texto en claro por defecto</t>
  </si>
  <si>
    <t xml:space="preserve">El texto se enmascara y solo se revela al accionar el icono del ojo</t>
  </si>
  <si>
    <t xml:space="preserve">CP-010</t>
  </si>
  <si>
    <t xml:space="preserve">Nota: RF-10, RF-11 y RNF-01 no estaban cubiertos por el diseño base de 32 casos. Se disenaron los casos adicionales CP-033 a CP-036 para cerrar esa brecha y alcanzar el 100% de cobertura.</t>
  </si>
  <si>
    <t xml:space="preserve">RESUMEN DE REQUERIMIENTOS</t>
  </si>
  <si>
    <t xml:space="preserve">Los valores se calculan con fórmulas sobre la hoja 'Requerimientos'</t>
  </si>
  <si>
    <t xml:space="preserve">Indicador</t>
  </si>
  <si>
    <t xml:space="preserve">Valor</t>
  </si>
  <si>
    <t xml:space="preserve">Detalle</t>
  </si>
  <si>
    <t xml:space="preserve">Total de requerimientos</t>
  </si>
  <si>
    <t xml:space="preserve">Suma de RF + RNF documentados</t>
  </si>
  <si>
    <t xml:space="preserve">Requerimientos funcionales (RF)</t>
  </si>
  <si>
    <t xml:space="preserve">Reglas de negocio del módulo</t>
  </si>
  <si>
    <t xml:space="preserve">Requerimientos no funcionales (RNF)</t>
  </si>
  <si>
    <t xml:space="preserve">Rendimiento, compatibilidad, interfaz y seguridad</t>
  </si>
  <si>
    <t xml:space="preserve">Prioridad Alta</t>
  </si>
  <si>
    <t xml:space="preserve">Requerimientos bloqueantes para el go-live</t>
  </si>
  <si>
    <t xml:space="preserve">Prioridad Media</t>
  </si>
  <si>
    <t xml:space="preserve">Requerimientos importantes, no bloqueantes</t>
  </si>
  <si>
    <t xml:space="preserve">Requerimientos cubiertos por casos</t>
  </si>
  <si>
    <t xml:space="preserve">Con al menos un caso de prueba asociado</t>
  </si>
  <si>
    <t xml:space="preserve">Requerimientos sin cubrir</t>
  </si>
  <si>
    <t xml:space="preserve">Brecha de cobertura pendiente</t>
  </si>
  <si>
    <t xml:space="preserve">% de cobertura de requerimientos</t>
  </si>
  <si>
    <t xml:space="preserve">Objetivo del proyecto: 100%</t>
  </si>
  <si>
    <t xml:space="preserve">LEYENDA Y CRITERIOS</t>
  </si>
  <si>
    <t xml:space="preserve">Convenciones usadas en todos los artefactos del proyecto</t>
  </si>
  <si>
    <t xml:space="preserve">Concepto</t>
  </si>
  <si>
    <t xml:space="preserve">Definición</t>
  </si>
  <si>
    <t xml:space="preserve">RF</t>
  </si>
  <si>
    <t xml:space="preserve">Requerimiento Funcional: describe QUE debe hacer el sistema.</t>
  </si>
  <si>
    <t xml:space="preserve">RNF</t>
  </si>
  <si>
    <t xml:space="preserve">Requerimiento No Funcional: describe COMO debe comportarse (rendimiento, compatibilidad, interfaz, seguridad).</t>
  </si>
  <si>
    <t xml:space="preserve">CP</t>
  </si>
  <si>
    <t xml:space="preserve">Caso de Prueba: describe COMO se verifica un requerimiento, con pasos y resultado esperado.</t>
  </si>
  <si>
    <t xml:space="preserve">Su incumplimiento bloquea el alta de usuarios o compromete la seguridad. Se testea primero.</t>
  </si>
  <si>
    <t xml:space="preserve">Afecta la experiencia o la calidad del dato, sin bloquear el flujo principal.</t>
  </si>
  <si>
    <t xml:space="preserve">Probabilidad de falla x impacto en el negocio, estimado junto a la QA Lead para ordenar la ejecución.</t>
  </si>
  <si>
    <t xml:space="preserve">El requerimiento tiene al menos un caso de prueba que lo verifica.</t>
  </si>
  <si>
    <t xml:space="preserve">Sin cubrir</t>
  </si>
  <si>
    <t xml:space="preserve">No existe caso de prueba asociado. Es una brecha que debe cerrarse antes de ejecutar.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</si>
</sst>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6100"/>
      <name val="Arial"/>
      <family val="0"/>
      <charset val="1"/>
    </font>
    <font>
      <b val="true"/>
      <sz val="9"/>
      <color rgb="FF9C65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1F3864"/>
      </patternFill>
    </fill>
    <fill>
      <patternFill patternType="solid">
        <fgColor rgb="FFFFC7CE"/>
        <bgColor rgb="FFFFEB9C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52"/>
    <col collapsed="false" customWidth="true" hidden="false" outlineLevel="0" max="5" min="5" style="0" width="11"/>
    <col collapsed="false" customWidth="true" hidden="false" outlineLevel="0" max="6" min="6" style="0" width="52"/>
    <col collapsed="false" customWidth="true" hidden="false" outlineLevel="0" max="7" min="7" style="0" width="10"/>
    <col collapsed="false" customWidth="true" hidden="false" outlineLevel="0" max="8" min="8" style="0" width="30"/>
    <col collapsed="false" customWidth="true" hidden="false" outlineLevel="0" max="9" min="9" style="0" width="13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2.35" hidden="false" customHeight="false" outlineLevel="0" collapsed="false">
      <c r="A5" s="4" t="s">
        <v>11</v>
      </c>
      <c r="B5" s="5" t="s">
        <v>12</v>
      </c>
      <c r="C5" s="6" t="s">
        <v>13</v>
      </c>
      <c r="D5" s="6" t="s">
        <v>14</v>
      </c>
      <c r="E5" s="7" t="s">
        <v>15</v>
      </c>
      <c r="F5" s="6" t="s">
        <v>16</v>
      </c>
      <c r="G5" s="5" t="s">
        <v>17</v>
      </c>
      <c r="H5" s="6" t="s">
        <v>18</v>
      </c>
      <c r="I5" s="8" t="s">
        <v>19</v>
      </c>
    </row>
    <row r="6" customFormat="false" ht="22.35" hidden="false" customHeight="false" outlineLevel="0" collapsed="false">
      <c r="A6" s="4" t="s">
        <v>20</v>
      </c>
      <c r="B6" s="5" t="s">
        <v>12</v>
      </c>
      <c r="C6" s="6" t="s">
        <v>13</v>
      </c>
      <c r="D6" s="6" t="s">
        <v>21</v>
      </c>
      <c r="E6" s="7" t="s">
        <v>15</v>
      </c>
      <c r="F6" s="6" t="s">
        <v>22</v>
      </c>
      <c r="G6" s="5" t="s">
        <v>17</v>
      </c>
      <c r="H6" s="6" t="s">
        <v>23</v>
      </c>
      <c r="I6" s="8" t="s">
        <v>19</v>
      </c>
    </row>
    <row r="7" customFormat="false" ht="22.35" hidden="false" customHeight="false" outlineLevel="0" collapsed="false">
      <c r="A7" s="4" t="s">
        <v>24</v>
      </c>
      <c r="B7" s="5" t="s">
        <v>12</v>
      </c>
      <c r="C7" s="6" t="s">
        <v>13</v>
      </c>
      <c r="D7" s="6" t="s">
        <v>25</v>
      </c>
      <c r="E7" s="7" t="s">
        <v>15</v>
      </c>
      <c r="F7" s="6" t="s">
        <v>26</v>
      </c>
      <c r="G7" s="5" t="s">
        <v>17</v>
      </c>
      <c r="H7" s="6" t="s">
        <v>27</v>
      </c>
      <c r="I7" s="8" t="s">
        <v>19</v>
      </c>
    </row>
    <row r="8" customFormat="false" ht="22.35" hidden="false" customHeight="false" outlineLevel="0" collapsed="false">
      <c r="A8" s="4" t="s">
        <v>28</v>
      </c>
      <c r="B8" s="5" t="s">
        <v>12</v>
      </c>
      <c r="C8" s="6" t="s">
        <v>13</v>
      </c>
      <c r="D8" s="6" t="s">
        <v>29</v>
      </c>
      <c r="E8" s="7" t="s">
        <v>15</v>
      </c>
      <c r="F8" s="6" t="s">
        <v>30</v>
      </c>
      <c r="G8" s="5" t="s">
        <v>17</v>
      </c>
      <c r="H8" s="6" t="s">
        <v>31</v>
      </c>
      <c r="I8" s="8" t="s">
        <v>19</v>
      </c>
    </row>
    <row r="9" customFormat="false" ht="22.35" hidden="false" customHeight="false" outlineLevel="0" collapsed="false">
      <c r="A9" s="4" t="s">
        <v>32</v>
      </c>
      <c r="B9" s="5" t="s">
        <v>12</v>
      </c>
      <c r="C9" s="6" t="s">
        <v>13</v>
      </c>
      <c r="D9" s="6" t="s">
        <v>33</v>
      </c>
      <c r="E9" s="7" t="s">
        <v>15</v>
      </c>
      <c r="F9" s="6" t="s">
        <v>34</v>
      </c>
      <c r="G9" s="5" t="s">
        <v>35</v>
      </c>
      <c r="H9" s="6" t="s">
        <v>36</v>
      </c>
      <c r="I9" s="8" t="s">
        <v>19</v>
      </c>
    </row>
    <row r="10" customFormat="false" ht="15" hidden="false" customHeight="false" outlineLevel="0" collapsed="false">
      <c r="A10" s="4" t="s">
        <v>37</v>
      </c>
      <c r="B10" s="5" t="s">
        <v>12</v>
      </c>
      <c r="C10" s="6" t="s">
        <v>13</v>
      </c>
      <c r="D10" s="6" t="s">
        <v>38</v>
      </c>
      <c r="E10" s="7" t="s">
        <v>15</v>
      </c>
      <c r="F10" s="6" t="s">
        <v>39</v>
      </c>
      <c r="G10" s="5" t="s">
        <v>17</v>
      </c>
      <c r="H10" s="6" t="s">
        <v>40</v>
      </c>
      <c r="I10" s="8" t="s">
        <v>19</v>
      </c>
    </row>
    <row r="11" customFormat="false" ht="22.35" hidden="false" customHeight="false" outlineLevel="0" collapsed="false">
      <c r="A11" s="4" t="s">
        <v>41</v>
      </c>
      <c r="B11" s="5" t="s">
        <v>12</v>
      </c>
      <c r="C11" s="6" t="s">
        <v>42</v>
      </c>
      <c r="D11" s="6" t="s">
        <v>43</v>
      </c>
      <c r="E11" s="9" t="s">
        <v>44</v>
      </c>
      <c r="F11" s="6" t="s">
        <v>45</v>
      </c>
      <c r="G11" s="5" t="s">
        <v>35</v>
      </c>
      <c r="H11" s="6" t="s">
        <v>46</v>
      </c>
      <c r="I11" s="8" t="s">
        <v>19</v>
      </c>
    </row>
    <row r="12" customFormat="false" ht="22.35" hidden="false" customHeight="false" outlineLevel="0" collapsed="false">
      <c r="A12" s="4" t="s">
        <v>47</v>
      </c>
      <c r="B12" s="5" t="s">
        <v>12</v>
      </c>
      <c r="C12" s="6" t="s">
        <v>42</v>
      </c>
      <c r="D12" s="6" t="s">
        <v>48</v>
      </c>
      <c r="E12" s="7" t="s">
        <v>15</v>
      </c>
      <c r="F12" s="6" t="s">
        <v>49</v>
      </c>
      <c r="G12" s="5" t="s">
        <v>17</v>
      </c>
      <c r="H12" s="6" t="s">
        <v>50</v>
      </c>
      <c r="I12" s="8" t="s">
        <v>19</v>
      </c>
    </row>
    <row r="13" customFormat="false" ht="22.35" hidden="false" customHeight="false" outlineLevel="0" collapsed="false">
      <c r="A13" s="4" t="s">
        <v>51</v>
      </c>
      <c r="B13" s="5" t="s">
        <v>12</v>
      </c>
      <c r="C13" s="6" t="s">
        <v>42</v>
      </c>
      <c r="D13" s="6" t="s">
        <v>52</v>
      </c>
      <c r="E13" s="9" t="s">
        <v>44</v>
      </c>
      <c r="F13" s="6" t="s">
        <v>53</v>
      </c>
      <c r="G13" s="5" t="s">
        <v>35</v>
      </c>
      <c r="H13" s="6" t="s">
        <v>54</v>
      </c>
      <c r="I13" s="8" t="s">
        <v>19</v>
      </c>
    </row>
    <row r="14" customFormat="false" ht="15" hidden="false" customHeight="false" outlineLevel="0" collapsed="false">
      <c r="A14" s="4" t="s">
        <v>55</v>
      </c>
      <c r="B14" s="5" t="s">
        <v>12</v>
      </c>
      <c r="C14" s="6" t="s">
        <v>42</v>
      </c>
      <c r="D14" s="6" t="s">
        <v>56</v>
      </c>
      <c r="E14" s="9" t="s">
        <v>44</v>
      </c>
      <c r="F14" s="6" t="s">
        <v>57</v>
      </c>
      <c r="G14" s="5" t="s">
        <v>35</v>
      </c>
      <c r="H14" s="6" t="s">
        <v>58</v>
      </c>
      <c r="I14" s="8" t="s">
        <v>19</v>
      </c>
    </row>
    <row r="15" customFormat="false" ht="22.35" hidden="false" customHeight="false" outlineLevel="0" collapsed="false">
      <c r="A15" s="4" t="s">
        <v>59</v>
      </c>
      <c r="B15" s="5" t="s">
        <v>12</v>
      </c>
      <c r="C15" s="6" t="s">
        <v>42</v>
      </c>
      <c r="D15" s="6" t="s">
        <v>60</v>
      </c>
      <c r="E15" s="9" t="s">
        <v>44</v>
      </c>
      <c r="F15" s="6" t="s">
        <v>61</v>
      </c>
      <c r="G15" s="5" t="s">
        <v>35</v>
      </c>
      <c r="H15" s="6" t="s">
        <v>62</v>
      </c>
      <c r="I15" s="8" t="s">
        <v>19</v>
      </c>
    </row>
    <row r="16" customFormat="false" ht="15" hidden="false" customHeight="false" outlineLevel="0" collapsed="false">
      <c r="A16" s="4" t="s">
        <v>63</v>
      </c>
      <c r="B16" s="5" t="s">
        <v>64</v>
      </c>
      <c r="C16" s="6" t="s">
        <v>65</v>
      </c>
      <c r="D16" s="6" t="s">
        <v>66</v>
      </c>
      <c r="E16" s="7" t="s">
        <v>15</v>
      </c>
      <c r="F16" s="6" t="s">
        <v>67</v>
      </c>
      <c r="G16" s="5" t="s">
        <v>35</v>
      </c>
      <c r="H16" s="6" t="s">
        <v>68</v>
      </c>
      <c r="I16" s="8" t="s">
        <v>19</v>
      </c>
    </row>
    <row r="17" customFormat="false" ht="22.35" hidden="false" customHeight="false" outlineLevel="0" collapsed="false">
      <c r="A17" s="4" t="s">
        <v>69</v>
      </c>
      <c r="B17" s="5" t="s">
        <v>64</v>
      </c>
      <c r="C17" s="6" t="s">
        <v>70</v>
      </c>
      <c r="D17" s="6" t="s">
        <v>71</v>
      </c>
      <c r="E17" s="7" t="s">
        <v>15</v>
      </c>
      <c r="F17" s="6" t="s">
        <v>72</v>
      </c>
      <c r="G17" s="5" t="s">
        <v>17</v>
      </c>
      <c r="H17" s="6" t="s">
        <v>73</v>
      </c>
      <c r="I17" s="8" t="s">
        <v>19</v>
      </c>
    </row>
    <row r="18" customFormat="false" ht="15" hidden="false" customHeight="false" outlineLevel="0" collapsed="false">
      <c r="A18" s="4" t="s">
        <v>74</v>
      </c>
      <c r="B18" s="5" t="s">
        <v>64</v>
      </c>
      <c r="C18" s="6" t="s">
        <v>75</v>
      </c>
      <c r="D18" s="6" t="s">
        <v>76</v>
      </c>
      <c r="E18" s="7" t="s">
        <v>15</v>
      </c>
      <c r="F18" s="6" t="s">
        <v>77</v>
      </c>
      <c r="G18" s="5" t="s">
        <v>17</v>
      </c>
      <c r="H18" s="6" t="s">
        <v>78</v>
      </c>
      <c r="I18" s="8" t="s">
        <v>19</v>
      </c>
    </row>
    <row r="19" customFormat="false" ht="22.35" hidden="false" customHeight="false" outlineLevel="0" collapsed="false">
      <c r="A19" s="4" t="s">
        <v>79</v>
      </c>
      <c r="B19" s="5" t="s">
        <v>64</v>
      </c>
      <c r="C19" s="6" t="s">
        <v>80</v>
      </c>
      <c r="D19" s="6" t="s">
        <v>81</v>
      </c>
      <c r="E19" s="7" t="s">
        <v>15</v>
      </c>
      <c r="F19" s="6" t="s">
        <v>82</v>
      </c>
      <c r="G19" s="5" t="s">
        <v>17</v>
      </c>
      <c r="H19" s="6" t="s">
        <v>83</v>
      </c>
      <c r="I19" s="8" t="s">
        <v>19</v>
      </c>
    </row>
    <row r="21" customFormat="false" ht="15" hidden="false" customHeight="true" outlineLevel="0" collapsed="false">
      <c r="A21" s="10" t="s">
        <v>84</v>
      </c>
      <c r="B21" s="10"/>
      <c r="C21" s="10"/>
      <c r="D21" s="10"/>
      <c r="E21" s="10"/>
      <c r="F21" s="10"/>
      <c r="G21" s="10"/>
      <c r="H21" s="10"/>
      <c r="I21" s="10"/>
    </row>
  </sheetData>
  <autoFilter ref="A4:I19"/>
  <mergeCells count="3">
    <mergeCell ref="A1:I1"/>
    <mergeCell ref="A2:I2"/>
    <mergeCell ref="A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50"/>
  </cols>
  <sheetData>
    <row r="1" customFormat="false" ht="25.5" hidden="false" customHeight="true" outlineLevel="0" collapsed="false">
      <c r="A1" s="1" t="s">
        <v>85</v>
      </c>
      <c r="B1" s="1"/>
      <c r="C1" s="1"/>
    </row>
    <row r="2" customFormat="false" ht="18" hidden="false" customHeight="true" outlineLevel="0" collapsed="false">
      <c r="A2" s="2" t="s">
        <v>86</v>
      </c>
      <c r="B2" s="2"/>
      <c r="C2" s="2"/>
    </row>
    <row r="4" customFormat="false" ht="30" hidden="false" customHeight="true" outlineLevel="0" collapsed="false">
      <c r="A4" s="3" t="s">
        <v>87</v>
      </c>
      <c r="B4" s="3" t="s">
        <v>88</v>
      </c>
      <c r="C4" s="3" t="s">
        <v>89</v>
      </c>
    </row>
    <row r="5" customFormat="false" ht="15" hidden="false" customHeight="false" outlineLevel="0" collapsed="false">
      <c r="A5" s="11" t="s">
        <v>90</v>
      </c>
      <c r="B5" s="5" t="n">
        <f aca="false">COUNTA(Requerimientos!A5:A19)</f>
        <v>15</v>
      </c>
      <c r="C5" s="6" t="s">
        <v>91</v>
      </c>
    </row>
    <row r="6" customFormat="false" ht="15" hidden="false" customHeight="false" outlineLevel="0" collapsed="false">
      <c r="A6" s="11" t="s">
        <v>92</v>
      </c>
      <c r="B6" s="5" t="n">
        <f aca="false">COUNTIF(Requerimientos!B5:B19,"Funcional")</f>
        <v>11</v>
      </c>
      <c r="C6" s="6" t="s">
        <v>93</v>
      </c>
    </row>
    <row r="7" customFormat="false" ht="15" hidden="false" customHeight="false" outlineLevel="0" collapsed="false">
      <c r="A7" s="11" t="s">
        <v>94</v>
      </c>
      <c r="B7" s="5" t="n">
        <f aca="false">COUNTIF(Requerimientos!B5:B19,"No funcional")</f>
        <v>4</v>
      </c>
      <c r="C7" s="6" t="s">
        <v>95</v>
      </c>
    </row>
    <row r="8" customFormat="false" ht="15" hidden="false" customHeight="false" outlineLevel="0" collapsed="false">
      <c r="A8" s="11" t="s">
        <v>96</v>
      </c>
      <c r="B8" s="5" t="n">
        <f aca="false">COUNTIF(Requerimientos!E5:E19,"Alta")</f>
        <v>11</v>
      </c>
      <c r="C8" s="6" t="s">
        <v>97</v>
      </c>
    </row>
    <row r="9" customFormat="false" ht="15" hidden="false" customHeight="false" outlineLevel="0" collapsed="false">
      <c r="A9" s="11" t="s">
        <v>98</v>
      </c>
      <c r="B9" s="5" t="n">
        <f aca="false">COUNTIF(Requerimientos!E5:E19,"Media")</f>
        <v>4</v>
      </c>
      <c r="C9" s="6" t="s">
        <v>99</v>
      </c>
    </row>
    <row r="10" customFormat="false" ht="15" hidden="false" customHeight="false" outlineLevel="0" collapsed="false">
      <c r="A10" s="11" t="s">
        <v>100</v>
      </c>
      <c r="B10" s="5" t="n">
        <f aca="false">COUNTIF(Requerimientos!I5:I19,"Cubierto")</f>
        <v>15</v>
      </c>
      <c r="C10" s="6" t="s">
        <v>101</v>
      </c>
    </row>
    <row r="11" customFormat="false" ht="15" hidden="false" customHeight="false" outlineLevel="0" collapsed="false">
      <c r="A11" s="11" t="s">
        <v>102</v>
      </c>
      <c r="B11" s="5" t="n">
        <f aca="false">COUNTIF(Requerimientos!I5:I19,"Sin cubrir")</f>
        <v>0</v>
      </c>
      <c r="C11" s="6" t="s">
        <v>103</v>
      </c>
    </row>
    <row r="12" customFormat="false" ht="15" hidden="false" customHeight="false" outlineLevel="0" collapsed="false">
      <c r="A12" s="11" t="s">
        <v>104</v>
      </c>
      <c r="B12" s="12" t="n">
        <f aca="false">IFERROR(COUNTIF(Requerimientos!I5:I19,"Cubierto")/COUNTA(Requerimientos!A5:A19),0)</f>
        <v>1</v>
      </c>
      <c r="C12" s="6" t="s">
        <v>105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6"/>
  </cols>
  <sheetData>
    <row r="1" customFormat="false" ht="25.5" hidden="false" customHeight="true" outlineLevel="0" collapsed="false">
      <c r="A1" s="1" t="s">
        <v>106</v>
      </c>
      <c r="B1" s="1"/>
    </row>
    <row r="2" customFormat="false" ht="18" hidden="false" customHeight="true" outlineLevel="0" collapsed="false">
      <c r="A2" s="2" t="s">
        <v>107</v>
      </c>
      <c r="B2" s="2"/>
    </row>
    <row r="4" customFormat="false" ht="30" hidden="false" customHeight="true" outlineLevel="0" collapsed="false">
      <c r="A4" s="3" t="s">
        <v>108</v>
      </c>
      <c r="B4" s="3" t="s">
        <v>109</v>
      </c>
    </row>
    <row r="5" customFormat="false" ht="15" hidden="false" customHeight="false" outlineLevel="0" collapsed="false">
      <c r="A5" s="11" t="s">
        <v>110</v>
      </c>
      <c r="B5" s="6" t="s">
        <v>111</v>
      </c>
    </row>
    <row r="6" customFormat="false" ht="15" hidden="false" customHeight="false" outlineLevel="0" collapsed="false">
      <c r="A6" s="11" t="s">
        <v>112</v>
      </c>
      <c r="B6" s="6" t="s">
        <v>113</v>
      </c>
    </row>
    <row r="7" customFormat="false" ht="15" hidden="false" customHeight="false" outlineLevel="0" collapsed="false">
      <c r="A7" s="11" t="s">
        <v>114</v>
      </c>
      <c r="B7" s="6" t="s">
        <v>115</v>
      </c>
    </row>
    <row r="8" customFormat="false" ht="15" hidden="false" customHeight="false" outlineLevel="0" collapsed="false">
      <c r="A8" s="11" t="s">
        <v>96</v>
      </c>
      <c r="B8" s="6" t="s">
        <v>116</v>
      </c>
    </row>
    <row r="9" customFormat="false" ht="15" hidden="false" customHeight="false" outlineLevel="0" collapsed="false">
      <c r="A9" s="11" t="s">
        <v>98</v>
      </c>
      <c r="B9" s="6" t="s">
        <v>117</v>
      </c>
    </row>
    <row r="10" customFormat="false" ht="15" hidden="false" customHeight="false" outlineLevel="0" collapsed="false">
      <c r="A10" s="11" t="s">
        <v>8</v>
      </c>
      <c r="B10" s="6" t="s">
        <v>118</v>
      </c>
    </row>
    <row r="11" customFormat="false" ht="15" hidden="false" customHeight="false" outlineLevel="0" collapsed="false">
      <c r="A11" s="11" t="s">
        <v>19</v>
      </c>
      <c r="B11" s="6" t="s">
        <v>119</v>
      </c>
    </row>
    <row r="12" customFormat="false" ht="15" hidden="false" customHeight="false" outlineLevel="0" collapsed="false">
      <c r="A12" s="11" t="s">
        <v>120</v>
      </c>
      <c r="B12" s="6" t="s">
        <v>121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2026-09-19T04:31:09Z</dcterms:created>
  <dc:creator>openpyxl</dc:creator>
  <dc:description/>
  <dc:language>en-US</dc:language>
  <cp:lastModifiedBy/>
  <dcterms:modified xsi:type="dcterms:W3CDTF">2026-09-19T04:31:09Z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